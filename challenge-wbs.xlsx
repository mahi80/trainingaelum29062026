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WBS" sheetId="1" state="visible" r:id="rId1"/>
    <sheet xmlns:r="http://schemas.openxmlformats.org/officeDocument/2006/relationships" name="Author Prep WBS" sheetId="2" state="visible" r:id="rId2"/>
    <sheet xmlns:r="http://schemas.openxmlformats.org/officeDocument/2006/relationships" name="Rubric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2E2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0" fillId="0" borderId="1" pivotButton="0" quotePrefix="0" xfId="0"/>
    <xf numFmtId="0" fontId="4" fillId="7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/>
    </xf>
    <xf numFmtId="0" fontId="6" fillId="0" borderId="0" pivotButton="0" quotePrefix="0" xfId="0"/>
    <xf numFmtId="0" fontId="4" fillId="0" borderId="1" pivotButton="0" quotePrefix="0" xfId="0"/>
    <xf numFmtId="0" fontId="5" fillId="8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Candidate hours by part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'Summary'!$A$13:$A$23</f>
            </numRef>
          </cat>
          <val>
            <numRef>
              <f>'Summary'!$B$13:$B$23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3" customWidth="1" min="3" max="3"/>
    <col width="52" customWidth="1" min="4" max="4"/>
    <col width="12" customWidth="1" min="5" max="5"/>
    <col width="9" customWidth="1" min="6" max="6"/>
    <col width="28" customWidth="1" min="7" max="7"/>
    <col width="5" customWidth="1" min="8" max="8"/>
    <col width="5" customWidth="1" min="9" max="9"/>
  </cols>
  <sheetData>
    <row r="1" ht="26" customHeight="1">
      <c r="A1" s="1" t="inlineStr">
        <is>
          <t>Candidate WBS — AutoLoan-DocIntel Take-Home (2h/day × 14 days = 28h)</t>
        </is>
      </c>
    </row>
    <row r="2">
      <c r="A2" s="2" t="inlineStr">
        <is>
          <t>Vertical-slice-first. Tiers: MUST (pass floor) · Target (strong) · Stretch (top of pool). Heavy data/infra is author-provided.</t>
        </is>
      </c>
    </row>
    <row r="3">
      <c r="A3" s="3" t="inlineStr">
        <is>
          <t>WBS</t>
        </is>
      </c>
      <c r="B3" s="3" t="inlineStr">
        <is>
          <t>Day</t>
        </is>
      </c>
      <c r="C3" s="3" t="inlineStr">
        <is>
          <t>Part</t>
        </is>
      </c>
      <c r="D3" s="3" t="inlineStr">
        <is>
          <t>Task</t>
        </is>
      </c>
      <c r="E3" s="3" t="inlineStr">
        <is>
          <t>Tier</t>
        </is>
      </c>
      <c r="F3" s="3" t="inlineStr">
        <is>
          <t>Depends</t>
        </is>
      </c>
      <c r="G3" s="3" t="inlineStr">
        <is>
          <t>Deliverable</t>
        </is>
      </c>
      <c r="H3" s="3" t="inlineStr">
        <is>
          <t>Hrs</t>
        </is>
      </c>
      <c r="I3" s="3" t="inlineStr">
        <is>
          <t>Cum</t>
        </is>
      </c>
    </row>
    <row r="4">
      <c r="A4" s="4" t="inlineStr">
        <is>
          <t>0.1</t>
        </is>
      </c>
      <c r="B4" s="4" t="inlineStr">
        <is>
          <t>D1</t>
        </is>
      </c>
      <c r="C4" s="5" t="inlineStr">
        <is>
          <t>Setup</t>
        </is>
      </c>
      <c r="D4" s="6" t="inlineStr">
        <is>
          <t>Setup: clone, docker compose up, pull Ollama models, read API contract / schema / catalog, run stubs end-to-end</t>
        </is>
      </c>
      <c r="E4" s="7" t="inlineStr">
        <is>
          <t>—</t>
        </is>
      </c>
      <c r="F4" s="4" t="inlineStr">
        <is>
          <t>—</t>
        </is>
      </c>
      <c r="G4" s="6" t="inlineStr">
        <is>
          <t>Running stack + orientation</t>
        </is>
      </c>
      <c r="H4" s="4" t="n">
        <v>2</v>
      </c>
      <c r="I4" s="8">
        <f>SUM($H$4:H4)</f>
        <v/>
      </c>
    </row>
    <row r="5">
      <c r="A5" s="4" t="inlineStr">
        <is>
          <t>1.1</t>
        </is>
      </c>
      <c r="B5" s="4" t="inlineStr">
        <is>
          <t>D2</t>
        </is>
      </c>
      <c r="C5" s="5" t="inlineStr">
        <is>
          <t>OCR</t>
        </is>
      </c>
      <c r="D5" s="6" t="inlineStr">
        <is>
          <t>OCR table detection + deskew/perspective-correct (TATR) on auto-loan forms</t>
        </is>
      </c>
      <c r="E5" s="9" t="inlineStr">
        <is>
          <t>MUST</t>
        </is>
      </c>
      <c r="F5" s="4" t="inlineStr">
        <is>
          <t>0.1</t>
        </is>
      </c>
      <c r="G5" s="6" t="inlineStr">
        <is>
          <t>Detected table regions</t>
        </is>
      </c>
      <c r="H5" s="4" t="n">
        <v>2</v>
      </c>
      <c r="I5" s="8">
        <f>SUM($H$4:H5)</f>
        <v/>
      </c>
    </row>
    <row r="6">
      <c r="A6" s="4" t="inlineStr">
        <is>
          <t>1.2</t>
        </is>
      </c>
      <c r="B6" s="4" t="inlineStr">
        <is>
          <t>D3</t>
        </is>
      </c>
      <c r="C6" s="5" t="inlineStr">
        <is>
          <t>OCR</t>
        </is>
      </c>
      <c r="D6" s="6" t="inlineStr">
        <is>
          <t>OCR structure→grid JSON + cursive handwriting (TrOCR) + multi-page stitch; run ocr-eval</t>
        </is>
      </c>
      <c r="E6" s="9" t="inlineStr">
        <is>
          <t>MUST/Stretch</t>
        </is>
      </c>
      <c r="F6" s="4" t="inlineStr">
        <is>
          <t>1.1</t>
        </is>
      </c>
      <c r="G6" s="6" t="inlineStr">
        <is>
          <t>Extractions + TEDS/CER</t>
        </is>
      </c>
      <c r="H6" s="4" t="n">
        <v>2</v>
      </c>
      <c r="I6" s="8">
        <f>SUM($H$4:H6)</f>
        <v/>
      </c>
    </row>
    <row r="7">
      <c r="A7" s="4" t="inlineStr">
        <is>
          <t>1.3</t>
        </is>
      </c>
      <c r="B7" s="4" t="inlineStr">
        <is>
          <t>D4</t>
        </is>
      </c>
      <c r="C7" s="5" t="inlineStr">
        <is>
          <t>Integration</t>
        </is>
      </c>
      <c r="D7" s="6" t="inlineStr">
        <is>
          <t>Load extractions → Postgres tables + chunk embeddings → pgvector</t>
        </is>
      </c>
      <c r="E7" s="9" t="inlineStr">
        <is>
          <t>MUST</t>
        </is>
      </c>
      <c r="F7" s="4" t="inlineStr">
        <is>
          <t>1.2</t>
        </is>
      </c>
      <c r="G7" s="6" t="inlineStr">
        <is>
          <t>Populated DB + vector index</t>
        </is>
      </c>
      <c r="H7" s="4" t="n">
        <v>2</v>
      </c>
      <c r="I7" s="8">
        <f>SUM($H$4:H7)</f>
        <v/>
      </c>
    </row>
    <row r="8">
      <c r="A8" s="4" t="inlineStr">
        <is>
          <t>2.1</t>
        </is>
      </c>
      <c r="B8" s="4" t="inlineStr">
        <is>
          <t>D5</t>
        </is>
      </c>
      <c r="C8" s="5" t="inlineStr">
        <is>
          <t>NL2SQL</t>
        </is>
      </c>
      <c r="D8" s="6" t="inlineStr">
        <is>
          <t>Schema-linking via OpenMetadata + pgvector → minimal sub-schema</t>
        </is>
      </c>
      <c r="E8" s="9" t="inlineStr">
        <is>
          <t>MUST</t>
        </is>
      </c>
      <c r="F8" s="4" t="inlineStr">
        <is>
          <t>1.3</t>
        </is>
      </c>
      <c r="G8" s="6" t="inlineStr">
        <is>
          <t>Sub-schema selector</t>
        </is>
      </c>
      <c r="H8" s="4" t="n">
        <v>2</v>
      </c>
      <c r="I8" s="8">
        <f>SUM($H$4:H8)</f>
        <v/>
      </c>
    </row>
    <row r="9">
      <c r="A9" s="4" t="inlineStr">
        <is>
          <t>2.2</t>
        </is>
      </c>
      <c r="B9" s="4" t="inlineStr">
        <is>
          <t>D6</t>
        </is>
      </c>
      <c r="C9" s="5" t="inlineStr">
        <is>
          <t>NL2SQL</t>
        </is>
      </c>
      <c r="D9" s="6" t="inlineStr">
        <is>
          <t>Qwen2.5-coder SQL gen + sqlglot validate + read-only execute + repair loop; run sql-eval</t>
        </is>
      </c>
      <c r="E9" s="9" t="inlineStr">
        <is>
          <t>MUST</t>
        </is>
      </c>
      <c r="F9" s="4" t="inlineStr">
        <is>
          <t>2.1</t>
        </is>
      </c>
      <c r="G9" s="6" t="inlineStr">
        <is>
          <t>Execution-accuracy report</t>
        </is>
      </c>
      <c r="H9" s="4" t="n">
        <v>2</v>
      </c>
      <c r="I9" s="8">
        <f>SUM($H$4:H9)</f>
        <v/>
      </c>
    </row>
    <row r="10">
      <c r="A10" s="4" t="inlineStr">
        <is>
          <t>3.1</t>
        </is>
      </c>
      <c r="B10" s="4" t="inlineStr">
        <is>
          <t>D7</t>
        </is>
      </c>
      <c r="C10" s="5" t="inlineStr">
        <is>
          <t>Orchestration</t>
        </is>
      </c>
      <c r="D10" s="6" t="inlineStr">
        <is>
          <t>LangGraph core: router→linker→nl2sql→validator→executor→explainer + Redis checkpointer</t>
        </is>
      </c>
      <c r="E10" s="9" t="inlineStr">
        <is>
          <t>MUST</t>
        </is>
      </c>
      <c r="F10" s="4" t="inlineStr">
        <is>
          <t>2.2</t>
        </is>
      </c>
      <c r="G10" s="6" t="inlineStr">
        <is>
          <t>Working SQL graph</t>
        </is>
      </c>
      <c r="H10" s="4" t="n">
        <v>2</v>
      </c>
      <c r="I10" s="8">
        <f>SUM($H$4:H10)</f>
        <v/>
      </c>
    </row>
    <row r="11">
      <c r="A11" s="4" t="inlineStr">
        <is>
          <t>4.1</t>
        </is>
      </c>
      <c r="B11" s="4" t="inlineStr">
        <is>
          <t>D8</t>
        </is>
      </c>
      <c r="C11" s="5" t="inlineStr">
        <is>
          <t>RAG</t>
        </is>
      </c>
      <c r="D11" s="6" t="inlineStr">
        <is>
          <t>Table-aware chunking + hybrid retrieval (BM25+dense, RRF) + bge-reranker; before/after nDCG; citations</t>
        </is>
      </c>
      <c r="E11" s="10" t="inlineStr">
        <is>
          <t>Target</t>
        </is>
      </c>
      <c r="F11" s="4" t="inlineStr">
        <is>
          <t>3.1</t>
        </is>
      </c>
      <c r="G11" s="6" t="inlineStr">
        <is>
          <t>Reranked cited answers</t>
        </is>
      </c>
      <c r="H11" s="4" t="n">
        <v>2</v>
      </c>
      <c r="I11" s="8">
        <f>SUM($H$4:H11)</f>
        <v/>
      </c>
    </row>
    <row r="12">
      <c r="A12" s="4" t="inlineStr">
        <is>
          <t>5.1</t>
        </is>
      </c>
      <c r="B12" s="4" t="inlineStr">
        <is>
          <t>D9</t>
        </is>
      </c>
      <c r="C12" s="5" t="inlineStr">
        <is>
          <t>ML</t>
        </is>
      </c>
      <c r="D12" s="6" t="inlineStr">
        <is>
          <t>Train LightGBM PD model + SHAP→adverse-action reasons; expose as tool; report AUC</t>
        </is>
      </c>
      <c r="E12" s="10" t="inlineStr">
        <is>
          <t>Target</t>
        </is>
      </c>
      <c r="F12" s="4" t="inlineStr">
        <is>
          <t>1.3</t>
        </is>
      </c>
      <c r="G12" s="6" t="inlineStr">
        <is>
          <t>Underwriting scorer tool</t>
        </is>
      </c>
      <c r="H12" s="4" t="n">
        <v>2</v>
      </c>
      <c r="I12" s="8">
        <f>SUM($H$4:H12)</f>
        <v/>
      </c>
    </row>
    <row r="13">
      <c r="A13" s="4" t="inlineStr">
        <is>
          <t>3.2</t>
        </is>
      </c>
      <c r="B13" s="4" t="inlineStr">
        <is>
          <t>D10</t>
        </is>
      </c>
      <c r="C13" s="5" t="inlineStr">
        <is>
          <t>Orchestration</t>
        </is>
      </c>
      <c r="D13" s="6" t="inlineStr">
        <is>
          <t>Agents breadth: +vector_retriever, reranker, underwriting, aggregator_critic (≥10 nodes wired)</t>
        </is>
      </c>
      <c r="E13" s="10" t="inlineStr">
        <is>
          <t>Target</t>
        </is>
      </c>
      <c r="F13" s="4" t="inlineStr">
        <is>
          <t>4.1; 5.1</t>
        </is>
      </c>
      <c r="G13" s="6" t="inlineStr">
        <is>
          <t>≥10-node graph</t>
        </is>
      </c>
      <c r="H13" s="4" t="n">
        <v>2</v>
      </c>
      <c r="I13" s="8">
        <f>SUM($H$4:H13)</f>
        <v/>
      </c>
    </row>
    <row r="14">
      <c r="A14" s="4" t="inlineStr">
        <is>
          <t>6.1</t>
        </is>
      </c>
      <c r="B14" s="4" t="inlineStr">
        <is>
          <t>D11</t>
        </is>
      </c>
      <c r="C14" s="5" t="inlineStr">
        <is>
          <t>App</t>
        </is>
      </c>
      <c r="D14" s="6" t="inlineStr">
        <is>
          <t>HTMX wiring: chat console → graph (SSE), document viewer overlay, underwriting panel</t>
        </is>
      </c>
      <c r="E14" s="10" t="inlineStr">
        <is>
          <t>Target</t>
        </is>
      </c>
      <c r="F14" s="4" t="inlineStr">
        <is>
          <t>3.2</t>
        </is>
      </c>
      <c r="G14" s="6" t="inlineStr">
        <is>
          <t>Working UI</t>
        </is>
      </c>
      <c r="H14" s="4" t="n">
        <v>2</v>
      </c>
      <c r="I14" s="8">
        <f>SUM($H$4:H14)</f>
        <v/>
      </c>
    </row>
    <row r="15">
      <c r="A15" s="4" t="inlineStr">
        <is>
          <t>7.1</t>
        </is>
      </c>
      <c r="B15" s="4" t="inlineStr">
        <is>
          <t>D12</t>
        </is>
      </c>
      <c r="C15" s="5" t="inlineStr">
        <is>
          <t>API</t>
        </is>
      </c>
      <c r="D15" s="6" t="inlineStr">
        <is>
          <t>Redis API: contract endpoints, semantic cache, rate-limit, idempotency, Streams ingestion; k6 smoke</t>
        </is>
      </c>
      <c r="E15" s="10" t="inlineStr">
        <is>
          <t>Target</t>
        </is>
      </c>
      <c r="F15" s="4" t="inlineStr">
        <is>
          <t>3.2</t>
        </is>
      </c>
      <c r="G15" s="6" t="inlineStr">
        <is>
          <t>Scalable API</t>
        </is>
      </c>
      <c r="H15" s="4" t="n">
        <v>2</v>
      </c>
      <c r="I15" s="8">
        <f>SUM($H$4:H15)</f>
        <v/>
      </c>
    </row>
    <row r="16">
      <c r="A16" s="4" t="inlineStr">
        <is>
          <t>8.1</t>
        </is>
      </c>
      <c r="B16" s="4" t="inlineStr">
        <is>
          <t>D13</t>
        </is>
      </c>
      <c r="C16" s="5" t="inlineStr">
        <is>
          <t>Stretch</t>
        </is>
      </c>
      <c r="D16" s="6" t="inlineStr">
        <is>
          <t>SPARQL/ontology lane + HITL interrupt/resume + policy/compliance; full k6 load test + tune</t>
        </is>
      </c>
      <c r="E16" s="11" t="inlineStr">
        <is>
          <t>Stretch</t>
        </is>
      </c>
      <c r="F16" s="4" t="inlineStr">
        <is>
          <t>7.1</t>
        </is>
      </c>
      <c r="G16" s="6" t="inlineStr">
        <is>
          <t>Stretch features + load report</t>
        </is>
      </c>
      <c r="H16" s="4" t="n">
        <v>2</v>
      </c>
      <c r="I16" s="8">
        <f>SUM($H$4:H16)</f>
        <v/>
      </c>
    </row>
    <row r="17">
      <c r="A17" s="4" t="inlineStr">
        <is>
          <t>9.1</t>
        </is>
      </c>
      <c r="B17" s="4" t="inlineStr">
        <is>
          <t>D14</t>
        </is>
      </c>
      <c r="C17" s="5" t="inlineStr">
        <is>
          <t>Cross-cut</t>
        </is>
      </c>
      <c r="D17" s="6" t="inlineStr">
        <is>
          <t>Security/red-team (injection, secrets, SCA) + ADRs + README + demo + final scorecard</t>
        </is>
      </c>
      <c r="E17" s="7" t="inlineStr">
        <is>
          <t>—</t>
        </is>
      </c>
      <c r="F17" s="4" t="inlineStr">
        <is>
          <t>all</t>
        </is>
      </c>
      <c r="G17" s="6" t="inlineStr">
        <is>
          <t>Submission package</t>
        </is>
      </c>
      <c r="H17" s="4" t="n">
        <v>2</v>
      </c>
      <c r="I17" s="8">
        <f>SUM($H$4:H17)</f>
        <v/>
      </c>
    </row>
    <row r="18">
      <c r="G18" s="12" t="inlineStr">
        <is>
          <t>TOTAL</t>
        </is>
      </c>
      <c r="H18" s="13">
        <f>SUM(H4:H17)</f>
        <v/>
      </c>
      <c r="I18" s="14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0" customWidth="1" min="3" max="3"/>
    <col width="32" customWidth="1" min="4" max="4"/>
    <col width="5" customWidth="1" min="5" max="5"/>
    <col width="5" customWidth="1" min="6" max="6"/>
  </cols>
  <sheetData>
    <row r="1" ht="26" customHeight="1">
      <c r="A1" s="1" t="inlineStr">
        <is>
          <t>Author Prep WBS — building the challenge pack + grading kit (~2h tasks)</t>
        </is>
      </c>
    </row>
    <row r="2">
      <c r="A2" s="2" t="inlineStr">
        <is>
          <t>What Aelum does to produce the substrate candidates build on. ~36h total.</t>
        </is>
      </c>
    </row>
    <row r="3">
      <c r="A3" s="3" t="inlineStr">
        <is>
          <t>ID</t>
        </is>
      </c>
      <c r="B3" s="3" t="inlineStr">
        <is>
          <t>Track</t>
        </is>
      </c>
      <c r="C3" s="3" t="inlineStr">
        <is>
          <t>Task</t>
        </is>
      </c>
      <c r="D3" s="3" t="inlineStr">
        <is>
          <t>Output</t>
        </is>
      </c>
      <c r="E3" s="3" t="inlineStr">
        <is>
          <t>Hrs</t>
        </is>
      </c>
      <c r="F3" s="3" t="inlineStr">
        <is>
          <t>Cum</t>
        </is>
      </c>
    </row>
    <row r="4">
      <c r="A4" s="4" t="inlineStr">
        <is>
          <t>A1</t>
        </is>
      </c>
      <c r="B4" s="5" t="inlineStr">
        <is>
          <t>docgen</t>
        </is>
      </c>
      <c r="C4" s="6" t="inlineStr">
        <is>
          <t>HTML/Pillow form templates for 3 doc classes (application / verification / policy)</t>
        </is>
      </c>
      <c r="D4" s="6" t="inlineStr">
        <is>
          <t>Form templates render</t>
        </is>
      </c>
      <c r="E4" s="4" t="n">
        <v>2</v>
      </c>
      <c r="F4" s="8">
        <f>SUM($E$4:E4)</f>
        <v/>
      </c>
    </row>
    <row r="5">
      <c r="A5" s="4" t="inlineStr">
        <is>
          <t>A2</t>
        </is>
      </c>
      <c r="B5" s="5" t="inlineStr">
        <is>
          <t>docgen</t>
        </is>
      </c>
      <c r="C5" s="6" t="inlineStr">
        <is>
          <t>Rasterize 300 DPI + Albumentations skew/perspective/noise with recorded homography</t>
        </is>
      </c>
      <c r="D5" s="6" t="inlineStr">
        <is>
          <t>Distorted PNGs + meta.json</t>
        </is>
      </c>
      <c r="E5" s="4" t="n">
        <v>2</v>
      </c>
      <c r="F5" s="8">
        <f>SUM($E$4:E5)</f>
        <v/>
      </c>
    </row>
    <row r="6">
      <c r="A6" s="4" t="inlineStr">
        <is>
          <t>A3</t>
        </is>
      </c>
      <c r="B6" s="5" t="inlineStr">
        <is>
          <t>docgen</t>
        </is>
      </c>
      <c r="C6" s="6" t="inlineStr">
        <is>
          <t>Cursive handwriting overlay (SIL-OFL fonts) into signature/initial/margin regions</t>
        </is>
      </c>
      <c r="D6" s="6" t="inlineStr">
        <is>
          <t>Handwritten layers composited</t>
        </is>
      </c>
      <c r="E6" s="4" t="n">
        <v>2</v>
      </c>
      <c r="F6" s="8">
        <f>SUM($E$4:E6)</f>
        <v/>
      </c>
    </row>
    <row r="7">
      <c r="A7" s="4" t="inlineStr">
        <is>
          <t>A4</t>
        </is>
      </c>
      <c r="B7" s="5" t="inlineStr">
        <is>
          <t>docgen</t>
        </is>
      </c>
      <c r="C7" s="6" t="inlineStr">
        <is>
          <t>Ground-truth emitters: grid-matrix JSON + PubTabNet-style HTML</t>
        </is>
      </c>
      <c r="D7" s="6" t="inlineStr">
        <is>
          <t>Table GT per page</t>
        </is>
      </c>
      <c r="E7" s="4" t="n">
        <v>2</v>
      </c>
      <c r="F7" s="8">
        <f>SUM($E$4:E7)</f>
        <v/>
      </c>
    </row>
    <row r="8">
      <c r="A8" s="4" t="inlineStr">
        <is>
          <t>A5</t>
        </is>
      </c>
      <c r="B8" s="5" t="inlineStr">
        <is>
          <t>docgen</t>
        </is>
      </c>
      <c r="C8" s="6" t="inlineStr">
        <is>
          <t>hOCR/ALTO text GT + stitch.json + manifest.jsonl; 80/20 split + leakage guards + SHA256SUMS</t>
        </is>
      </c>
      <c r="D8" s="6" t="inlineStr">
        <is>
          <t>Full label set + withheld test</t>
        </is>
      </c>
      <c r="E8" s="4" t="n">
        <v>2</v>
      </c>
      <c r="F8" s="8">
        <f>SUM($E$4:E8)</f>
        <v/>
      </c>
    </row>
    <row r="9">
      <c r="A9" s="4" t="inlineStr">
        <is>
          <t>A6</t>
        </is>
      </c>
      <c r="B9" s="5" t="inlineStr">
        <is>
          <t>schema</t>
        </is>
      </c>
      <c r="C9" s="6" t="inlineStr">
        <is>
          <t>10 core auto-loan DDL tables hand-authored</t>
        </is>
      </c>
      <c r="D9" s="6" t="inlineStr">
        <is>
          <t>db/ddl/10..40_*.sql</t>
        </is>
      </c>
      <c r="E9" s="4" t="n">
        <v>2</v>
      </c>
      <c r="F9" s="8">
        <f>SUM($E$4:E9)</f>
        <v/>
      </c>
    </row>
    <row r="10">
      <c r="A10" s="4" t="inlineStr">
        <is>
          <t>A7</t>
        </is>
      </c>
      <c r="B10" s="5" t="inlineStr">
        <is>
          <t>schema</t>
        </is>
      </c>
      <c r="C10" s="6" t="inlineStr">
        <is>
          <t>Templated dim/history/xref expansion to ≥100 tables / ≥200 cols + count self-check</t>
        </is>
      </c>
      <c r="D10" s="6" t="inlineStr">
        <is>
          <t>Full schema</t>
        </is>
      </c>
      <c r="E10" s="4" t="n">
        <v>2</v>
      </c>
      <c r="F10" s="8">
        <f>SUM($E$4:E10)</f>
        <v/>
      </c>
    </row>
    <row r="11">
      <c r="A11" s="4" t="inlineStr">
        <is>
          <t>A8</t>
        </is>
      </c>
      <c r="B11" s="5" t="inlineStr">
        <is>
          <t>schema</t>
        </is>
      </c>
      <c r="C11" s="6" t="inlineStr">
        <is>
          <t>pgvector tables (doc/row embeddings, HNSW) + analytics views (90_views.sql)</t>
        </is>
      </c>
      <c r="D11" s="6" t="inlineStr">
        <is>
          <t>Vector schema + views</t>
        </is>
      </c>
      <c r="E11" s="4" t="n">
        <v>2</v>
      </c>
      <c r="F11" s="8">
        <f>SUM($E$4:E11)</f>
        <v/>
      </c>
    </row>
    <row r="12">
      <c r="A12" s="4" t="inlineStr">
        <is>
          <t>A9</t>
        </is>
      </c>
      <c r="B12" s="5" t="inlineStr">
        <is>
          <t>seed</t>
        </is>
      </c>
      <c r="C12" s="6" t="inlineStr">
        <is>
          <t>Faker seed (referentially consistent; 12 docs↔example images) + fixed dump</t>
        </is>
      </c>
      <c r="D12" s="6" t="inlineStr">
        <is>
          <t>seed.py + seed_fixed.sql.gz</t>
        </is>
      </c>
      <c r="E12" s="4" t="n">
        <v>2</v>
      </c>
      <c r="F12" s="8">
        <f>SUM($E$4:E12)</f>
        <v/>
      </c>
    </row>
    <row r="13">
      <c r="A13" s="4" t="inlineStr">
        <is>
          <t>A10</t>
        </is>
      </c>
      <c r="B13" s="5" t="inlineStr">
        <is>
          <t>app</t>
        </is>
      </c>
      <c r="C13" s="6" t="inlineStr">
        <is>
          <t>FastAPI shell: factory, config, async SQLAlchemy, structlog JSON + request/correlation middleware</t>
        </is>
      </c>
      <c r="D13" s="6" t="inlineStr">
        <is>
          <t>Running skeleton</t>
        </is>
      </c>
      <c r="E13" s="4" t="n">
        <v>2</v>
      </c>
      <c r="F13" s="8">
        <f>SUM($E$4:E13)</f>
        <v/>
      </c>
    </row>
    <row r="14">
      <c r="A14" s="4" t="inlineStr">
        <is>
          <t>A11</t>
        </is>
      </c>
      <c r="B14" s="5" t="inlineStr">
        <is>
          <t>app</t>
        </is>
      </c>
      <c r="C14" s="6" t="inlineStr">
        <is>
          <t>Auth: argon2 + OAuth2 password flow + Postgres-backed session middleware</t>
        </is>
      </c>
      <c r="D14" s="6" t="inlineStr">
        <is>
          <t>Login/logout works</t>
        </is>
      </c>
      <c r="E14" s="4" t="n">
        <v>2</v>
      </c>
      <c r="F14" s="8">
        <f>SUM($E$4:E14)</f>
        <v/>
      </c>
    </row>
    <row r="15">
      <c r="A15" s="4" t="inlineStr">
        <is>
          <t>A12</t>
        </is>
      </c>
      <c r="B15" s="5" t="inlineStr">
        <is>
          <t>app</t>
        </is>
      </c>
      <c r="C15" s="6" t="inlineStr">
        <is>
          <t>HTMX templates: login, chat (SSE canned), document viewer, underwriting, catalog</t>
        </is>
      </c>
      <c r="D15" s="6" t="inlineStr">
        <is>
          <t>Pages render</t>
        </is>
      </c>
      <c r="E15" s="4" t="n">
        <v>2</v>
      </c>
      <c r="F15" s="8">
        <f>SUM($E$4:E15)</f>
        <v/>
      </c>
    </row>
    <row r="16">
      <c r="A16" s="4" t="inlineStr">
        <is>
          <t>A13</t>
        </is>
      </c>
      <c r="B16" s="5" t="inlineStr">
        <is>
          <t>infra</t>
        </is>
      </c>
      <c r="C16" s="6" t="inlineStr">
        <is>
          <t>docker-compose: postgres+pgvector, redis, ollama (+model-pull), app + healthchecks</t>
        </is>
      </c>
      <c r="D16" s="6" t="inlineStr">
        <is>
          <t>compose up green</t>
        </is>
      </c>
      <c r="E16" s="4" t="n">
        <v>2</v>
      </c>
      <c r="F16" s="8">
        <f>SUM($E$4:E16)</f>
        <v/>
      </c>
    </row>
    <row r="17">
      <c r="A17" s="4" t="inlineStr">
        <is>
          <t>A14</t>
        </is>
      </c>
      <c r="B17" s="5" t="inlineStr">
        <is>
          <t>catalog</t>
        </is>
      </c>
      <c r="C17" s="6" t="inlineStr">
        <is>
          <t>OpenMetadata compose (MySQL+OpenSearch) + Postgres connector + page-index ingestion</t>
        </is>
      </c>
      <c r="D17" s="6" t="inlineStr">
        <is>
          <t>Catalog populated</t>
        </is>
      </c>
      <c r="E17" s="4" t="n">
        <v>2</v>
      </c>
      <c r="F17" s="8">
        <f>SUM($E$4:E17)</f>
        <v/>
      </c>
    </row>
    <row r="18">
      <c r="A18" s="4" t="inlineStr">
        <is>
          <t>A15</t>
        </is>
      </c>
      <c r="B18" s="5" t="inlineStr">
        <is>
          <t>grading</t>
        </is>
      </c>
      <c r="C18" s="6" t="inlineStr">
        <is>
          <t>Harness: data-integrity + schema-conformance checks → scorecard.json</t>
        </is>
      </c>
      <c r="D18" s="6" t="inlineStr">
        <is>
          <t>pytest suite</t>
        </is>
      </c>
      <c r="E18" s="4" t="n">
        <v>2</v>
      </c>
      <c r="F18" s="8">
        <f>SUM($E$4:E18)</f>
        <v/>
      </c>
    </row>
    <row r="19">
      <c r="A19" s="4" t="inlineStr">
        <is>
          <t>A16</t>
        </is>
      </c>
      <c r="B19" s="5" t="inlineStr">
        <is>
          <t>grading</t>
        </is>
      </c>
      <c r="C19" s="6" t="inlineStr">
        <is>
          <t>Harness: auth/session correctness + reproducibility/leakage checks</t>
        </is>
      </c>
      <c r="D19" s="6" t="inlineStr">
        <is>
          <t>Suite complete</t>
        </is>
      </c>
      <c r="E19" s="4" t="n">
        <v>2</v>
      </c>
      <c r="F19" s="8">
        <f>SUM($E$4:E19)</f>
        <v/>
      </c>
    </row>
    <row r="20">
      <c r="A20" s="4" t="inlineStr">
        <is>
          <t>A17</t>
        </is>
      </c>
      <c r="B20" s="5" t="inlineStr">
        <is>
          <t>grading</t>
        </is>
      </c>
      <c r="C20" s="6" t="inlineStr">
        <is>
          <t>Reference-solution pass + rubric calibration + RUNBOOK</t>
        </is>
      </c>
      <c r="D20" s="6" t="inlineStr">
        <is>
          <t>Solvable + scored</t>
        </is>
      </c>
      <c r="E20" s="4" t="n">
        <v>2</v>
      </c>
      <c r="F20" s="8">
        <f>SUM($E$4:E20)</f>
        <v/>
      </c>
    </row>
    <row r="21">
      <c r="A21" s="4" t="inlineStr">
        <is>
          <t>A18</t>
        </is>
      </c>
      <c r="B21" s="5" t="inlineStr">
        <is>
          <t>docs</t>
        </is>
      </c>
      <c r="C21" s="6" t="inlineStr">
        <is>
          <t>README brief, SUBMISSION.md, license/SHA manifest, clean-machine repro dry-run</t>
        </is>
      </c>
      <c r="D21" s="6" t="inlineStr">
        <is>
          <t>Publishable pack</t>
        </is>
      </c>
      <c r="E21" s="4" t="n">
        <v>2</v>
      </c>
      <c r="F21" s="8">
        <f>SUM($E$4:E21)</f>
        <v/>
      </c>
    </row>
    <row r="22">
      <c r="D22" s="12" t="inlineStr">
        <is>
          <t>TOTAL</t>
        </is>
      </c>
      <c r="E22" s="13">
        <f>SUM(E4:E21)</f>
        <v/>
      </c>
      <c r="F22" s="14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70" customWidth="1" min="4" max="4"/>
  </cols>
  <sheetData>
    <row r="1" ht="26" customHeight="1">
      <c r="A1" s="1" t="inlineStr">
        <is>
          <t>Evaluation Rubric — 100 points (pass = 70)</t>
        </is>
      </c>
    </row>
    <row r="2">
      <c r="A2" s="2" t="inlineStr">
        <is>
          <t>Auto = computed by grading harness (scorecard.json). Manual = reviewer against anchors. Each line scored 0–5, normalized to weight.</t>
        </is>
      </c>
    </row>
    <row r="3">
      <c r="A3" s="3" t="inlineStr">
        <is>
          <t>Category</t>
        </is>
      </c>
      <c r="B3" s="3" t="inlineStr">
        <is>
          <t>Scoring</t>
        </is>
      </c>
      <c r="C3" s="3" t="inlineStr">
        <is>
          <t>Points</t>
        </is>
      </c>
      <c r="D3" s="3" t="inlineStr">
        <is>
          <t>Anchor / what earns full marks</t>
        </is>
      </c>
    </row>
    <row r="4">
      <c r="A4" s="5" t="inlineStr">
        <is>
          <t>NL-to-SQL</t>
        </is>
      </c>
      <c r="B4" s="9" t="inlineStr">
        <is>
          <t>Auto</t>
        </is>
      </c>
      <c r="C4" s="4" t="n">
        <v>16</v>
      </c>
      <c r="D4" s="6" t="inlineStr">
        <is>
          <t>Execution Accuracy (primary), Exact-Set-Match, valid-SQL rate, repair-loop count</t>
        </is>
      </c>
    </row>
    <row r="5">
      <c r="A5" s="5" t="inlineStr">
        <is>
          <t>OCR extraction</t>
        </is>
      </c>
      <c r="B5" s="9" t="inlineStr">
        <is>
          <t>Auto</t>
        </is>
      </c>
      <c r="C5" s="4" t="n">
        <v>14</v>
      </c>
      <c r="D5" s="6" t="inlineStr">
        <is>
          <t>TEDS-Struct, GriTS-Top/Con, cell-F1, CER/WER (print vs handwriting), multi-page stitch F1</t>
        </is>
      </c>
    </row>
    <row r="6">
      <c r="A6" s="5" t="inlineStr">
        <is>
          <t>LangGraph orchestration</t>
        </is>
      </c>
      <c r="B6" s="10" t="inlineStr">
        <is>
          <t>Manual</t>
        </is>
      </c>
      <c r="C6" s="4" t="n">
        <v>14</v>
      </c>
      <c r="D6" s="6" t="inlineStr">
        <is>
          <t>≥10 nodes wired, route accuracy, Redis checkpointer, HITL interrupt/resume</t>
        </is>
      </c>
    </row>
    <row r="7">
      <c r="A7" s="5" t="inlineStr">
        <is>
          <t>RAG + reranker</t>
        </is>
      </c>
      <c r="B7" s="9" t="inlineStr">
        <is>
          <t>Auto</t>
        </is>
      </c>
      <c r="C7" s="4" t="n">
        <v>10</v>
      </c>
      <c r="D7" s="6" t="inlineStr">
        <is>
          <t>Recall@40/MRR/nDCG@10 before vs after rerank; RAGAS faithfulness &gt;0.70</t>
        </is>
      </c>
    </row>
    <row r="8">
      <c r="A8" s="5" t="inlineStr">
        <is>
          <t>App: HTMX + auth + sessions + logging</t>
        </is>
      </c>
      <c r="B8" s="15" t="inlineStr">
        <is>
          <t>Auto/Manual</t>
        </is>
      </c>
      <c r="C8" s="4" t="n">
        <v>10</v>
      </c>
      <c r="D8" s="6" t="inlineStr">
        <is>
          <t>argon2 hashing, Postgres-backed sessions, JSON logs w/ request_id + correlation_id</t>
        </is>
      </c>
    </row>
    <row r="9">
      <c r="A9" s="5" t="inlineStr">
        <is>
          <t>Redis-scalable API</t>
        </is>
      </c>
      <c r="B9" s="9" t="inlineStr">
        <is>
          <t>Auto</t>
        </is>
      </c>
      <c r="C9" s="4" t="n">
        <v>10</v>
      </c>
      <c r="D9" s="6" t="inlineStr">
        <is>
          <t>Contract conformance; semantic cache, rate-limit, idempotency, Streams ingestion; k6 SLOs</t>
        </is>
      </c>
    </row>
    <row r="10">
      <c r="A10" s="5" t="inlineStr">
        <is>
          <t>ML underwriting</t>
        </is>
      </c>
      <c r="B10" s="9" t="inlineStr">
        <is>
          <t>Auto</t>
        </is>
      </c>
      <c r="C10" s="4" t="n">
        <v>8</v>
      </c>
      <c r="D10" s="6" t="inlineStr">
        <is>
          <t>AUC-ROC, PR-AUC, Brier (calibration), decision-agreement %, SHAP reason codes</t>
        </is>
      </c>
    </row>
    <row r="11">
      <c r="A11" s="5" t="inlineStr">
        <is>
          <t>Engineering quality</t>
        </is>
      </c>
      <c r="B11" s="10" t="inlineStr">
        <is>
          <t>Manual</t>
        </is>
      </c>
      <c r="C11" s="4" t="n">
        <v>8</v>
      </c>
      <c r="D11" s="6" t="inlineStr">
        <is>
          <t>Tests (≥60% core), reproducible docker compose, CI, clean structure</t>
        </is>
      </c>
    </row>
    <row r="12">
      <c r="A12" s="5" t="inlineStr">
        <is>
          <t>SPARQL / ontology (Stretch)</t>
        </is>
      </c>
      <c r="B12" s="9" t="inlineStr">
        <is>
          <t>Auto</t>
        </is>
      </c>
      <c r="C12" s="4" t="n">
        <v>4</v>
      </c>
      <c r="D12" s="6" t="inlineStr">
        <is>
          <t>Result-set F1 vs gold; valid-query rate over Oxigraph</t>
        </is>
      </c>
    </row>
    <row r="13">
      <c r="A13" s="5" t="inlineStr">
        <is>
          <t>Security &amp; red-team</t>
        </is>
      </c>
      <c r="B13" s="10" t="inlineStr">
        <is>
          <t>Manual</t>
        </is>
      </c>
      <c r="C13" s="4" t="n">
        <v>4</v>
      </c>
      <c r="D13" s="6" t="inlineStr">
        <is>
          <t>Prompt-injection defense, no secrets in repo, SCA/supply-chain, PII handling</t>
        </is>
      </c>
    </row>
    <row r="14">
      <c r="A14" s="5" t="inlineStr">
        <is>
          <t>Docs / ADRs / demo</t>
        </is>
      </c>
      <c r="B14" s="10" t="inlineStr">
        <is>
          <t>Manual</t>
        </is>
      </c>
      <c r="C14" s="4" t="n">
        <v>2</v>
      </c>
      <c r="D14" s="6" t="inlineStr">
        <is>
          <t>README clarity, ≥3 ADRs explaining 'why', demo walkthrough</t>
        </is>
      </c>
    </row>
    <row r="15">
      <c r="A15" s="12" t="inlineStr">
        <is>
          <t>TOTAL</t>
        </is>
      </c>
      <c r="B15" s="14" t="n"/>
      <c r="C15" s="13">
        <f>SUM(C4:C14)</f>
        <v/>
      </c>
      <c r="D15" s="16" t="inlineStr">
        <is>
          <t>Pass threshold: 70 / 100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3" customWidth="1" min="3" max="3"/>
    <col width="11" customWidth="1" min="4" max="4"/>
    <col width="70" customWidth="1" min="5" max="5"/>
  </cols>
  <sheetData>
    <row r="1" ht="26" customHeight="1">
      <c r="A1" s="1" t="inlineStr">
        <is>
          <t>Summary &amp; Rollup</t>
        </is>
      </c>
    </row>
    <row r="3">
      <c r="A3" s="17" t="inlineStr">
        <is>
          <t>Effort totals</t>
        </is>
      </c>
    </row>
    <row r="4">
      <c r="A4" s="18" t="inlineStr">
        <is>
          <t>Candidate effort (hrs)</t>
        </is>
      </c>
      <c r="B4" s="19">
        <f>SUM('Candidate WBS'!H4:H17)</f>
        <v/>
      </c>
    </row>
    <row r="5">
      <c r="A5" s="18" t="inlineStr">
        <is>
          <t>Author prep effort (hrs)</t>
        </is>
      </c>
      <c r="B5" s="19">
        <f>SUM('Author Prep WBS'!E4:E21)</f>
        <v/>
      </c>
    </row>
    <row r="6">
      <c r="A6" s="18" t="inlineStr">
        <is>
          <t>Candidate calendar (days @2h)</t>
        </is>
      </c>
      <c r="B6" s="19">
        <f>ROUND(B4/2,0)</f>
        <v/>
      </c>
    </row>
    <row r="7">
      <c r="A7" s="18" t="inlineStr">
        <is>
          <t>Rubric total (pts)</t>
        </is>
      </c>
      <c r="B7" s="19">
        <f>Rubric!C15</f>
        <v/>
      </c>
    </row>
    <row r="8">
      <c r="A8" s="18" t="inlineStr">
        <is>
          <t>Pass threshold (pts)</t>
        </is>
      </c>
      <c r="B8" s="19" t="n">
        <v>70</v>
      </c>
    </row>
    <row r="11">
      <c r="A11" s="17" t="inlineStr">
        <is>
          <t>Candidate hours by part</t>
        </is>
      </c>
      <c r="D11" s="17" t="inlineStr">
        <is>
          <t>Tier targets</t>
        </is>
      </c>
    </row>
    <row r="12">
      <c r="A12" s="3" t="inlineStr">
        <is>
          <t>Part</t>
        </is>
      </c>
      <c r="B12" s="3" t="inlineStr">
        <is>
          <t>Hrs</t>
        </is>
      </c>
      <c r="D12" s="20" t="inlineStr">
        <is>
          <t>MUST</t>
        </is>
      </c>
      <c r="E12" s="21" t="inlineStr">
        <is>
          <t>OCR baseline (TEDS-Struct ≥0.70); SQL vertical slice ≥60% Exec-Acc; graph runs; auth/session/logging; /chat+/search</t>
        </is>
      </c>
    </row>
    <row r="13">
      <c r="A13" s="18" t="inlineStr">
        <is>
          <t>Setup</t>
        </is>
      </c>
      <c r="B13" s="22">
        <f>SUMIF('Candidate WBS'!$C$4:$C$17,A13,'Candidate WBS'!$H$4:$H$17)</f>
        <v/>
      </c>
      <c r="D13" s="23" t="inlineStr">
        <is>
          <t>Target</t>
        </is>
      </c>
      <c r="E13" s="21" t="inlineStr">
        <is>
          <t>RAG+rerank (nDCG lift, RAGAS&gt;0.70); LightGBM AUC; ≥10 nodes; HTMX wired; Redis cache/limit/Streams; k6 @50 RPS</t>
        </is>
      </c>
    </row>
    <row r="14">
      <c r="A14" s="18" t="inlineStr">
        <is>
          <t>OCR</t>
        </is>
      </c>
      <c r="B14" s="22">
        <f>SUMIF('Candidate WBS'!$C$4:$C$17,A14,'Candidate WBS'!$H$4:$H$17)</f>
        <v/>
      </c>
      <c r="D14" s="24" t="inlineStr">
        <is>
          <t>Stretch</t>
        </is>
      </c>
      <c r="E14" s="21" t="inlineStr">
        <is>
          <t>SPARQL lane; HITL; policy/compliance; critic retry; full 14-node fan-out; handwriting CER≤0.15; Azure deploy</t>
        </is>
      </c>
    </row>
    <row r="15">
      <c r="A15" s="18" t="inlineStr">
        <is>
          <t>Integration</t>
        </is>
      </c>
      <c r="B15" s="22">
        <f>SUMIF('Candidate WBS'!$C$4:$C$17,A15,'Candidate WBS'!$H$4:$H$17)</f>
        <v/>
      </c>
    </row>
    <row r="16">
      <c r="A16" s="18" t="inlineStr">
        <is>
          <t>NL2SQL</t>
        </is>
      </c>
      <c r="B16" s="22">
        <f>SUMIF('Candidate WBS'!$C$4:$C$17,A16,'Candidate WBS'!$H$4:$H$17)</f>
        <v/>
      </c>
    </row>
    <row r="17">
      <c r="A17" s="18" t="inlineStr">
        <is>
          <t>Orchestration</t>
        </is>
      </c>
      <c r="B17" s="22">
        <f>SUMIF('Candidate WBS'!$C$4:$C$17,A17,'Candidate WBS'!$H$4:$H$17)</f>
        <v/>
      </c>
    </row>
    <row r="18">
      <c r="A18" s="18" t="inlineStr">
        <is>
          <t>RAG</t>
        </is>
      </c>
      <c r="B18" s="22">
        <f>SUMIF('Candidate WBS'!$C$4:$C$17,A18,'Candidate WBS'!$H$4:$H$17)</f>
        <v/>
      </c>
    </row>
    <row r="19">
      <c r="A19" s="18" t="inlineStr">
        <is>
          <t>ML</t>
        </is>
      </c>
      <c r="B19" s="22">
        <f>SUMIF('Candidate WBS'!$C$4:$C$17,A19,'Candidate WBS'!$H$4:$H$17)</f>
        <v/>
      </c>
    </row>
    <row r="20">
      <c r="A20" s="18" t="inlineStr">
        <is>
          <t>App</t>
        </is>
      </c>
      <c r="B20" s="22">
        <f>SUMIF('Candidate WBS'!$C$4:$C$17,A20,'Candidate WBS'!$H$4:$H$17)</f>
        <v/>
      </c>
    </row>
    <row r="21">
      <c r="A21" s="18" t="inlineStr">
        <is>
          <t>API</t>
        </is>
      </c>
      <c r="B21" s="22">
        <f>SUMIF('Candidate WBS'!$C$4:$C$17,A21,'Candidate WBS'!$H$4:$H$17)</f>
        <v/>
      </c>
    </row>
    <row r="22">
      <c r="A22" s="18" t="inlineStr">
        <is>
          <t>Stretch</t>
        </is>
      </c>
      <c r="B22" s="22">
        <f>SUMIF('Candidate WBS'!$C$4:$C$17,A22,'Candidate WBS'!$H$4:$H$17)</f>
        <v/>
      </c>
    </row>
    <row r="23">
      <c r="A23" s="18" t="inlineStr">
        <is>
          <t>Cross-cut</t>
        </is>
      </c>
      <c r="B23" s="22">
        <f>SUMIF('Candidate WBS'!$C$4:$C$17,A23,'Candidate WBS'!$H$4:$H$17)</f>
        <v/>
      </c>
    </row>
    <row r="24">
      <c r="A24" s="12" t="inlineStr">
        <is>
          <t>TOTAL</t>
        </is>
      </c>
      <c r="B24" s="13">
        <f>SUM(B13:B23)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2026-06-30T08:53:25Z</dcterms:created>
  <dcterms:modified xmlns:dcterms="http://purl.org/dc/terms/" xmlns:xsi="http://www.w3.org/2001/XMLSchema-instance" xsi:type="dcterms:W3CDTF">2026-06-30T08:53:25Z</dcterms:modified>
</cp:coreProperties>
</file>