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tatus" sheetId="1" state="visible" r:id="rId1"/>
    <sheet xmlns:r="http://schemas.openxmlformats.org/officeDocument/2006/relationships" name="Milestone Matrix" sheetId="2" state="visible" r:id="rId2"/>
    <sheet xmlns:r="http://schemas.openxmlformats.org/officeDocument/2006/relationships" name="Weekly Checklist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386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BF7E7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2E2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 vertical="top"/>
    </xf>
    <xf numFmtId="9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9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0" fillId="0" borderId="1" pivotButton="0" quotePrefix="0" xfId="0"/>
    <xf numFmtId="9" fontId="5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center" vertical="top"/>
    </xf>
    <xf numFmtId="0" fontId="6" fillId="0" borderId="0" pivotButton="0" quotePrefix="0" xfId="0"/>
    <xf numFmtId="0" fontId="4" fillId="0" borderId="1" pivotButton="0" quotePrefix="0" xfId="0"/>
    <xf numFmtId="0" fontId="5" fillId="10" borderId="1" applyAlignment="1" pivotButton="0" quotePrefix="0" xfId="0">
      <alignment horizontal="center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2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Week-2 status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'Dashboard'!$A$14:$A$16</f>
            </numRef>
          </cat>
          <val>
            <numRef>
              <f>'Dashboard'!$B$14:$B$16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1" customWidth="1" min="5" max="5"/>
    <col width="10" customWidth="1" min="6" max="6"/>
    <col width="8" customWidth="1" min="7" max="7"/>
    <col width="6" customWidth="1" min="8" max="8"/>
    <col width="8" customWidth="1" min="9" max="9"/>
    <col width="22" customWidth="1" min="10" max="10"/>
    <col width="10" customWidth="1" min="11" max="11"/>
    <col width="8" customWidth="1" min="12" max="12"/>
    <col width="6" customWidth="1" min="13" max="13"/>
    <col width="8" customWidth="1" min="14" max="14"/>
    <col width="22" customWidth="1" min="15" max="15"/>
    <col width="12" customWidth="1" min="16" max="16"/>
    <col width="8" customWidth="1" min="17" max="17"/>
    <col width="8" customWidth="1" min="18" max="18"/>
    <col width="26" customWidth="1" min="19" max="19"/>
  </cols>
  <sheetData>
    <row r="1" ht="26" customHeight="1">
      <c r="A1" s="1" t="inlineStr">
        <is>
          <t>Consultant Weekly Status — AutoLoan-DocIntel (14-day take-home)</t>
        </is>
      </c>
    </row>
    <row r="2">
      <c r="A2" s="2" t="inlineStr">
        <is>
          <t>Example rows are shaded — overwrite with your cohort. RAG/Tier are dropdowns; Due &amp; Pass compute. Fill commits from consultant_status.py.</t>
        </is>
      </c>
    </row>
    <row r="3">
      <c r="A3" s="3" t="inlineStr">
        <is>
          <t>Identity</t>
        </is>
      </c>
      <c r="F3" s="3" t="inlineStr">
        <is>
          <t>Week 1 check  (Days 1-7)</t>
        </is>
      </c>
      <c r="K3" s="3" t="inlineStr">
        <is>
          <t>Week 2 check  (Days 8-14)</t>
        </is>
      </c>
      <c r="P3" s="3" t="inlineStr">
        <is>
          <t>Final</t>
        </is>
      </c>
    </row>
    <row r="4">
      <c r="A4" s="4" t="inlineStr">
        <is>
          <t>Consultant</t>
        </is>
      </c>
      <c r="B4" s="4" t="inlineStr">
        <is>
          <t>Branch</t>
        </is>
      </c>
      <c r="C4" s="4" t="inlineStr">
        <is>
          <t>Start</t>
        </is>
      </c>
      <c r="D4" s="4" t="inlineStr">
        <is>
          <t>Due (+14d)</t>
        </is>
      </c>
      <c r="E4" s="4" t="inlineStr">
        <is>
          <t>Reviewer</t>
        </is>
      </c>
      <c r="F4" s="4" t="inlineStr">
        <is>
          <t>W1 date</t>
        </is>
      </c>
      <c r="G4" s="4" t="inlineStr">
        <is>
          <t>W1 RAG</t>
        </is>
      </c>
      <c r="H4" s="4" t="inlineStr">
        <is>
          <t>W1 %</t>
        </is>
      </c>
      <c r="I4" s="4" t="inlineStr">
        <is>
          <t>W1 commits</t>
        </is>
      </c>
      <c r="J4" s="4" t="inlineStr">
        <is>
          <t>W1 notes</t>
        </is>
      </c>
      <c r="K4" s="4" t="inlineStr">
        <is>
          <t>W2 date</t>
        </is>
      </c>
      <c r="L4" s="4" t="inlineStr">
        <is>
          <t>W2 RAG</t>
        </is>
      </c>
      <c r="M4" s="4" t="inlineStr">
        <is>
          <t>W2 %</t>
        </is>
      </c>
      <c r="N4" s="4" t="inlineStr">
        <is>
          <t>W2 commits</t>
        </is>
      </c>
      <c r="O4" s="4" t="inlineStr">
        <is>
          <t>W2 notes</t>
        </is>
      </c>
      <c r="P4" s="4" t="inlineStr">
        <is>
          <t>Tier reached</t>
        </is>
      </c>
      <c r="Q4" s="4" t="inlineStr">
        <is>
          <t>Score /100</t>
        </is>
      </c>
      <c r="R4" s="4" t="inlineStr">
        <is>
          <t>Pass?</t>
        </is>
      </c>
      <c r="S4" s="4" t="inlineStr">
        <is>
          <t>Recommendation</t>
        </is>
      </c>
    </row>
    <row r="5">
      <c r="A5" s="5" t="inlineStr">
        <is>
          <t>Alice Okafor</t>
        </is>
      </c>
      <c r="B5" s="5" t="inlineStr">
        <is>
          <t>solution/alice</t>
        </is>
      </c>
      <c r="C5" s="6" t="inlineStr">
        <is>
          <t>2026-07-01</t>
        </is>
      </c>
      <c r="D5" s="6">
        <f>IF(C5="","",C5+14)</f>
        <v/>
      </c>
      <c r="E5" s="5" t="inlineStr">
        <is>
          <t>R. Mehta</t>
        </is>
      </c>
      <c r="F5" s="6" t="inlineStr">
        <is>
          <t>2026-07-01</t>
        </is>
      </c>
      <c r="G5" s="6" t="inlineStr">
        <is>
          <t>Green</t>
        </is>
      </c>
      <c r="H5" s="7" t="n">
        <v>1</v>
      </c>
      <c r="I5" s="5" t="n">
        <v>9</v>
      </c>
      <c r="J5" s="8" t="inlineStr">
        <is>
          <t>MUST slice done on time</t>
        </is>
      </c>
      <c r="K5" s="6" t="inlineStr"/>
      <c r="L5" s="6" t="inlineStr">
        <is>
          <t>Green</t>
        </is>
      </c>
      <c r="M5" s="7" t="n">
        <v>0.8</v>
      </c>
      <c r="N5" s="6" t="n">
        <v>11</v>
      </c>
      <c r="O5" s="8" t="inlineStr">
        <is>
          <t>RAG+underwriting in; API in progress</t>
        </is>
      </c>
      <c r="P5" s="6" t="inlineStr">
        <is>
          <t>Target</t>
        </is>
      </c>
      <c r="Q5" s="6" t="n">
        <v>82</v>
      </c>
      <c r="R5" s="6">
        <f>IF(Q5="","",IF(Q5&gt;=70,"PASS","FAIL"))</f>
        <v/>
      </c>
      <c r="S5" s="8" t="inlineStr">
        <is>
          <t>Advance — strong senior signal</t>
        </is>
      </c>
    </row>
    <row r="6">
      <c r="A6" s="5" t="inlineStr">
        <is>
          <t>Bob Nguyen</t>
        </is>
      </c>
      <c r="B6" s="5" t="inlineStr">
        <is>
          <t>solution/bob</t>
        </is>
      </c>
      <c r="C6" s="6" t="inlineStr">
        <is>
          <t>2026-07-01</t>
        </is>
      </c>
      <c r="D6" s="6">
        <f>IF(C6="","",C6+14)</f>
        <v/>
      </c>
      <c r="E6" s="5" t="inlineStr">
        <is>
          <t>R. Mehta</t>
        </is>
      </c>
      <c r="F6" s="6" t="inlineStr">
        <is>
          <t>2026-07-01</t>
        </is>
      </c>
      <c r="G6" s="6" t="inlineStr">
        <is>
          <t>Amber</t>
        </is>
      </c>
      <c r="H6" s="7" t="n">
        <v>0.7</v>
      </c>
      <c r="I6" s="5" t="n">
        <v>5</v>
      </c>
      <c r="J6" s="8" t="inlineStr">
        <is>
          <t>OCR slow; NL-SQL late</t>
        </is>
      </c>
      <c r="K6" s="6" t="inlineStr"/>
      <c r="L6" s="6" t="inlineStr">
        <is>
          <t>Amber</t>
        </is>
      </c>
      <c r="M6" s="7" t="n">
        <v>0.55</v>
      </c>
      <c r="N6" s="6" t="n">
        <v>6</v>
      </c>
      <c r="O6" s="8" t="inlineStr">
        <is>
          <t>RAG blocked; no API yet</t>
        </is>
      </c>
      <c r="P6" s="6" t="inlineStr">
        <is>
          <t>MUST</t>
        </is>
      </c>
      <c r="Q6" s="6" t="n">
        <v>68</v>
      </c>
      <c r="R6" s="6">
        <f>IF(Q6="","",IF(Q6&gt;=70,"PASS","FAIL"))</f>
        <v/>
      </c>
      <c r="S6" s="8" t="inlineStr">
        <is>
          <t>Borderline — probe in debrief</t>
        </is>
      </c>
    </row>
    <row r="7">
      <c r="A7" s="5" t="inlineStr">
        <is>
          <t>Chidi Eze</t>
        </is>
      </c>
      <c r="B7" s="5" t="inlineStr">
        <is>
          <t>solution/chidi</t>
        </is>
      </c>
      <c r="C7" s="6" t="inlineStr">
        <is>
          <t>2026-07-01</t>
        </is>
      </c>
      <c r="D7" s="6">
        <f>IF(C7="","",C7+14)</f>
        <v/>
      </c>
      <c r="E7" s="5" t="inlineStr">
        <is>
          <t>S. Kaur</t>
        </is>
      </c>
      <c r="F7" s="6" t="inlineStr">
        <is>
          <t>2026-07-01</t>
        </is>
      </c>
      <c r="G7" s="6" t="inlineStr">
        <is>
          <t>Green</t>
        </is>
      </c>
      <c r="H7" s="7" t="n">
        <v>1</v>
      </c>
      <c r="I7" s="5" t="n">
        <v>12</v>
      </c>
      <c r="J7" s="8" t="inlineStr">
        <is>
          <t>Ahead of pace</t>
        </is>
      </c>
      <c r="K7" s="6" t="inlineStr"/>
      <c r="L7" s="6" t="inlineStr">
        <is>
          <t>Green</t>
        </is>
      </c>
      <c r="M7" s="7" t="n">
        <v>1</v>
      </c>
      <c r="N7" s="6" t="n">
        <v>15</v>
      </c>
      <c r="O7" s="8" t="inlineStr">
        <is>
          <t>Stretch: SPARQL + HITL done</t>
        </is>
      </c>
      <c r="P7" s="6" t="inlineStr">
        <is>
          <t>Stretch</t>
        </is>
      </c>
      <c r="Q7" s="6" t="n">
        <v>91</v>
      </c>
      <c r="R7" s="6">
        <f>IF(Q7="","",IF(Q7&gt;=70,"PASS","FAIL"))</f>
        <v/>
      </c>
      <c r="S7" s="8" t="inlineStr">
        <is>
          <t>Strong hire</t>
        </is>
      </c>
    </row>
    <row r="8">
      <c r="A8" s="9" t="inlineStr">
        <is>
          <t>(consultant 1)</t>
        </is>
      </c>
      <c r="B8" s="9" t="inlineStr"/>
      <c r="C8" s="10" t="inlineStr"/>
      <c r="D8" s="10">
        <f>IF(C8="","",C8+14)</f>
        <v/>
      </c>
      <c r="E8" s="9" t="inlineStr"/>
      <c r="F8" s="10" t="inlineStr"/>
      <c r="G8" s="10" t="inlineStr"/>
      <c r="H8" s="11" t="inlineStr"/>
      <c r="I8" s="9" t="inlineStr"/>
      <c r="J8" s="12" t="inlineStr"/>
      <c r="K8" s="10" t="inlineStr"/>
      <c r="L8" s="10" t="inlineStr"/>
      <c r="M8" s="11" t="inlineStr"/>
      <c r="N8" s="10" t="inlineStr"/>
      <c r="O8" s="12" t="inlineStr"/>
      <c r="P8" s="10" t="inlineStr"/>
      <c r="Q8" s="10" t="inlineStr"/>
      <c r="R8" s="10">
        <f>IF(Q8="","",IF(Q8&gt;=70,"PASS","FAIL"))</f>
        <v/>
      </c>
      <c r="S8" s="12" t="inlineStr"/>
    </row>
    <row r="9">
      <c r="A9" s="9" t="inlineStr">
        <is>
          <t>(consultant 2)</t>
        </is>
      </c>
      <c r="B9" s="9" t="inlineStr"/>
      <c r="C9" s="10" t="inlineStr"/>
      <c r="D9" s="10">
        <f>IF(C9="","",C9+14)</f>
        <v/>
      </c>
      <c r="E9" s="9" t="inlineStr"/>
      <c r="F9" s="10" t="inlineStr"/>
      <c r="G9" s="10" t="inlineStr"/>
      <c r="H9" s="11" t="inlineStr"/>
      <c r="I9" s="9" t="inlineStr"/>
      <c r="J9" s="12" t="inlineStr"/>
      <c r="K9" s="10" t="inlineStr"/>
      <c r="L9" s="10" t="inlineStr"/>
      <c r="M9" s="11" t="inlineStr"/>
      <c r="N9" s="10" t="inlineStr"/>
      <c r="O9" s="12" t="inlineStr"/>
      <c r="P9" s="10" t="inlineStr"/>
      <c r="Q9" s="10" t="inlineStr"/>
      <c r="R9" s="10">
        <f>IF(Q9="","",IF(Q9&gt;=70,"PASS","FAIL"))</f>
        <v/>
      </c>
      <c r="S9" s="12" t="inlineStr"/>
    </row>
    <row r="10">
      <c r="A10" s="9" t="inlineStr">
        <is>
          <t>(consultant 3)</t>
        </is>
      </c>
      <c r="B10" s="9" t="inlineStr"/>
      <c r="C10" s="10" t="inlineStr"/>
      <c r="D10" s="10">
        <f>IF(C10="","",C10+14)</f>
        <v/>
      </c>
      <c r="E10" s="9" t="inlineStr"/>
      <c r="F10" s="10" t="inlineStr"/>
      <c r="G10" s="10" t="inlineStr"/>
      <c r="H10" s="11" t="inlineStr"/>
      <c r="I10" s="9" t="inlineStr"/>
      <c r="J10" s="12" t="inlineStr"/>
      <c r="K10" s="10" t="inlineStr"/>
      <c r="L10" s="10" t="inlineStr"/>
      <c r="M10" s="11" t="inlineStr"/>
      <c r="N10" s="10" t="inlineStr"/>
      <c r="O10" s="12" t="inlineStr"/>
      <c r="P10" s="10" t="inlineStr"/>
      <c r="Q10" s="10" t="inlineStr"/>
      <c r="R10" s="10">
        <f>IF(Q10="","",IF(Q10&gt;=70,"PASS","FAIL"))</f>
        <v/>
      </c>
      <c r="S10" s="12" t="inlineStr"/>
    </row>
    <row r="11">
      <c r="A11" s="9" t="inlineStr">
        <is>
          <t>(consultant 4)</t>
        </is>
      </c>
      <c r="B11" s="9" t="inlineStr"/>
      <c r="C11" s="10" t="inlineStr"/>
      <c r="D11" s="10">
        <f>IF(C11="","",C11+14)</f>
        <v/>
      </c>
      <c r="E11" s="9" t="inlineStr"/>
      <c r="F11" s="10" t="inlineStr"/>
      <c r="G11" s="10" t="inlineStr"/>
      <c r="H11" s="11" t="inlineStr"/>
      <c r="I11" s="9" t="inlineStr"/>
      <c r="J11" s="12" t="inlineStr"/>
      <c r="K11" s="10" t="inlineStr"/>
      <c r="L11" s="10" t="inlineStr"/>
      <c r="M11" s="11" t="inlineStr"/>
      <c r="N11" s="10" t="inlineStr"/>
      <c r="O11" s="12" t="inlineStr"/>
      <c r="P11" s="10" t="inlineStr"/>
      <c r="Q11" s="10" t="inlineStr"/>
      <c r="R11" s="10">
        <f>IF(Q11="","",IF(Q11&gt;=70,"PASS","FAIL"))</f>
        <v/>
      </c>
      <c r="S11" s="12" t="inlineStr"/>
    </row>
    <row r="12">
      <c r="A12" s="9" t="inlineStr">
        <is>
          <t>(consultant 5)</t>
        </is>
      </c>
      <c r="B12" s="9" t="inlineStr"/>
      <c r="C12" s="10" t="inlineStr"/>
      <c r="D12" s="10">
        <f>IF(C12="","",C12+14)</f>
        <v/>
      </c>
      <c r="E12" s="9" t="inlineStr"/>
      <c r="F12" s="10" t="inlineStr"/>
      <c r="G12" s="10" t="inlineStr"/>
      <c r="H12" s="11" t="inlineStr"/>
      <c r="I12" s="9" t="inlineStr"/>
      <c r="J12" s="12" t="inlineStr"/>
      <c r="K12" s="10" t="inlineStr"/>
      <c r="L12" s="10" t="inlineStr"/>
      <c r="M12" s="11" t="inlineStr"/>
      <c r="N12" s="10" t="inlineStr"/>
      <c r="O12" s="12" t="inlineStr"/>
      <c r="P12" s="10" t="inlineStr"/>
      <c r="Q12" s="10" t="inlineStr"/>
      <c r="R12" s="10">
        <f>IF(Q12="","",IF(Q12&gt;=70,"PASS","FAIL"))</f>
        <v/>
      </c>
      <c r="S12" s="12" t="inlineStr"/>
    </row>
    <row r="13">
      <c r="A13" s="9" t="inlineStr">
        <is>
          <t>(consultant 6)</t>
        </is>
      </c>
      <c r="B13" s="9" t="inlineStr"/>
      <c r="C13" s="10" t="inlineStr"/>
      <c r="D13" s="10">
        <f>IF(C13="","",C13+14)</f>
        <v/>
      </c>
      <c r="E13" s="9" t="inlineStr"/>
      <c r="F13" s="10" t="inlineStr"/>
      <c r="G13" s="10" t="inlineStr"/>
      <c r="H13" s="11" t="inlineStr"/>
      <c r="I13" s="9" t="inlineStr"/>
      <c r="J13" s="12" t="inlineStr"/>
      <c r="K13" s="10" t="inlineStr"/>
      <c r="L13" s="10" t="inlineStr"/>
      <c r="M13" s="11" t="inlineStr"/>
      <c r="N13" s="10" t="inlineStr"/>
      <c r="O13" s="12" t="inlineStr"/>
      <c r="P13" s="10" t="inlineStr"/>
      <c r="Q13" s="10" t="inlineStr"/>
      <c r="R13" s="10">
        <f>IF(Q13="","",IF(Q13&gt;=70,"PASS","FAIL"))</f>
        <v/>
      </c>
      <c r="S13" s="12" t="inlineStr"/>
    </row>
  </sheetData>
  <mergeCells count="6">
    <mergeCell ref="K3:O3"/>
    <mergeCell ref="F3:J3"/>
    <mergeCell ref="A1:S1"/>
    <mergeCell ref="P3:S3"/>
    <mergeCell ref="A2:S2"/>
    <mergeCell ref="A3:E3"/>
  </mergeCells>
  <conditionalFormatting sqref="G5:G13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conditionalFormatting sqref="L5:L13">
    <cfRule type="cellIs" priority="4" operator="equal" dxfId="0">
      <formula>"Green"</formula>
    </cfRule>
    <cfRule type="cellIs" priority="5" operator="equal" dxfId="1">
      <formula>"Amber"</formula>
    </cfRule>
    <cfRule type="cellIs" priority="6" operator="equal" dxfId="2">
      <formula>"Red"</formula>
    </cfRule>
  </conditionalFormatting>
  <conditionalFormatting sqref="R5:R13">
    <cfRule type="cellIs" priority="7" operator="equal" dxfId="0">
      <formula>"PASS"</formula>
    </cfRule>
    <cfRule type="cellIs" priority="8" operator="equal" dxfId="2">
      <formula>"FAIL"</formula>
    </cfRule>
  </conditionalFormatting>
  <dataValidations count="2">
    <dataValidation sqref="G5:G13 L5:L13" showDropDown="0" showInputMessage="0" showErrorMessage="0" allowBlank="1" type="list">
      <formula1>"Green,Amber,Red"</formula1>
    </dataValidation>
    <dataValidation sqref="P5:P13" showDropDown="0" showInputMessage="0" showErrorMessage="0" allowBlank="1" type="list">
      <formula1>"None,MUST,Target,Stretch"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5" customWidth="1" min="2" max="2"/>
    <col width="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Milestone Matrix — capability progress per consultant</t>
        </is>
      </c>
    </row>
    <row r="2">
      <c r="A2" s="2" t="inlineStr">
        <is>
          <t>Status dropdown: Done / WIP / Blocked / Not started. '% done' row computes automatically. Example columns are shaded.</t>
        </is>
      </c>
    </row>
    <row r="3">
      <c r="A3" s="4" t="inlineStr">
        <is>
          <t>Milestone</t>
        </is>
      </c>
      <c r="B3" s="4" t="inlineStr">
        <is>
          <t>Wk</t>
        </is>
      </c>
      <c r="C3" s="4" t="inlineStr">
        <is>
          <t>Tier</t>
        </is>
      </c>
      <c r="D3" s="4" t="inlineStr">
        <is>
          <t>Alice Okafor</t>
        </is>
      </c>
      <c r="E3" s="4" t="inlineStr">
        <is>
          <t>Bob Nguyen</t>
        </is>
      </c>
      <c r="F3" s="4" t="inlineStr">
        <is>
          <t>Chidi Eze</t>
        </is>
      </c>
      <c r="G3" s="4" t="inlineStr">
        <is>
          <t>(consultant 1)</t>
        </is>
      </c>
      <c r="H3" s="4" t="inlineStr">
        <is>
          <t>(consultant 2)</t>
        </is>
      </c>
      <c r="I3" s="4" t="inlineStr">
        <is>
          <t>(consultant 3)</t>
        </is>
      </c>
      <c r="J3" s="4" t="inlineStr">
        <is>
          <t>(consultant 4)</t>
        </is>
      </c>
      <c r="K3" s="4" t="inlineStr">
        <is>
          <t>(consultant 5)</t>
        </is>
      </c>
      <c r="L3" s="4" t="inlineStr">
        <is>
          <t>(consultant 6)</t>
        </is>
      </c>
    </row>
    <row r="4">
      <c r="A4" s="13" t="inlineStr">
        <is>
          <t>Env &amp; stack (compose + seed healthy)</t>
        </is>
      </c>
      <c r="B4" s="14" t="inlineStr">
        <is>
          <t>W1</t>
        </is>
      </c>
      <c r="C4" s="15" t="inlineStr">
        <is>
          <t>MUST</t>
        </is>
      </c>
      <c r="D4" s="16" t="inlineStr">
        <is>
          <t>Done</t>
        </is>
      </c>
      <c r="E4" s="16" t="inlineStr">
        <is>
          <t>Done</t>
        </is>
      </c>
      <c r="F4" s="16" t="inlineStr">
        <is>
          <t>Done</t>
        </is>
      </c>
      <c r="G4" s="14" t="inlineStr"/>
      <c r="H4" s="14" t="inlineStr"/>
      <c r="I4" s="14" t="inlineStr"/>
      <c r="J4" s="14" t="inlineStr"/>
      <c r="K4" s="14" t="inlineStr"/>
      <c r="L4" s="14" t="inlineStr"/>
    </row>
    <row r="5">
      <c r="A5" s="13" t="inlineStr">
        <is>
          <t>OCR extraction (multi-page, skew, handwriting)</t>
        </is>
      </c>
      <c r="B5" s="14" t="inlineStr">
        <is>
          <t>W1</t>
        </is>
      </c>
      <c r="C5" s="15" t="inlineStr">
        <is>
          <t>MUST</t>
        </is>
      </c>
      <c r="D5" s="16" t="inlineStr">
        <is>
          <t>Done</t>
        </is>
      </c>
      <c r="E5" s="16" t="inlineStr">
        <is>
          <t>Done</t>
        </is>
      </c>
      <c r="F5" s="16" t="inlineStr">
        <is>
          <t>Done</t>
        </is>
      </c>
      <c r="G5" s="14" t="inlineStr"/>
      <c r="H5" s="14" t="inlineStr"/>
      <c r="I5" s="14" t="inlineStr"/>
      <c r="J5" s="14" t="inlineStr"/>
      <c r="K5" s="14" t="inlineStr"/>
      <c r="L5" s="14" t="inlineStr"/>
    </row>
    <row r="6">
      <c r="A6" s="13" t="inlineStr">
        <is>
          <t>Load -&gt; Postgres + pgvector</t>
        </is>
      </c>
      <c r="B6" s="14" t="inlineStr">
        <is>
          <t>W1</t>
        </is>
      </c>
      <c r="C6" s="15" t="inlineStr">
        <is>
          <t>MUST</t>
        </is>
      </c>
      <c r="D6" s="16" t="inlineStr">
        <is>
          <t>Done</t>
        </is>
      </c>
      <c r="E6" s="16" t="inlineStr">
        <is>
          <t>Done</t>
        </is>
      </c>
      <c r="F6" s="16" t="inlineStr">
        <is>
          <t>Done</t>
        </is>
      </c>
      <c r="G6" s="14" t="inlineStr"/>
      <c r="H6" s="14" t="inlineStr"/>
      <c r="I6" s="14" t="inlineStr"/>
      <c r="J6" s="14" t="inlineStr"/>
      <c r="K6" s="14" t="inlineStr"/>
      <c r="L6" s="14" t="inlineStr"/>
    </row>
    <row r="7">
      <c r="A7" s="13" t="inlineStr">
        <is>
          <t>NL-to-SQL (schema-link + generate + validate)</t>
        </is>
      </c>
      <c r="B7" s="14" t="inlineStr">
        <is>
          <t>W1</t>
        </is>
      </c>
      <c r="C7" s="15" t="inlineStr">
        <is>
          <t>MUST</t>
        </is>
      </c>
      <c r="D7" s="16" t="inlineStr">
        <is>
          <t>Done</t>
        </is>
      </c>
      <c r="E7" s="16" t="inlineStr">
        <is>
          <t>Done</t>
        </is>
      </c>
      <c r="F7" s="16" t="inlineStr">
        <is>
          <t>Done</t>
        </is>
      </c>
      <c r="G7" s="14" t="inlineStr"/>
      <c r="H7" s="14" t="inlineStr"/>
      <c r="I7" s="14" t="inlineStr"/>
      <c r="J7" s="14" t="inlineStr"/>
      <c r="K7" s="14" t="inlineStr"/>
      <c r="L7" s="14" t="inlineStr"/>
    </row>
    <row r="8">
      <c r="A8" s="13" t="inlineStr">
        <is>
          <t>LangGraph orchestration (&gt;=10 nodes)</t>
        </is>
      </c>
      <c r="B8" s="14" t="inlineStr">
        <is>
          <t>W1</t>
        </is>
      </c>
      <c r="C8" s="15" t="inlineStr">
        <is>
          <t>MUST</t>
        </is>
      </c>
      <c r="D8" s="16" t="inlineStr">
        <is>
          <t>Done</t>
        </is>
      </c>
      <c r="E8" s="16" t="inlineStr">
        <is>
          <t>WIP</t>
        </is>
      </c>
      <c r="F8" s="16" t="inlineStr">
        <is>
          <t>Done</t>
        </is>
      </c>
      <c r="G8" s="14" t="inlineStr"/>
      <c r="H8" s="14" t="inlineStr"/>
      <c r="I8" s="14" t="inlineStr"/>
      <c r="J8" s="14" t="inlineStr"/>
      <c r="K8" s="14" t="inlineStr"/>
      <c r="L8" s="14" t="inlineStr"/>
    </row>
    <row r="9">
      <c r="A9" s="13" t="inlineStr">
        <is>
          <t>RAG + reranker (nDCG lift)</t>
        </is>
      </c>
      <c r="B9" s="14" t="inlineStr">
        <is>
          <t>W2</t>
        </is>
      </c>
      <c r="C9" s="17" t="inlineStr">
        <is>
          <t>Target</t>
        </is>
      </c>
      <c r="D9" s="16" t="inlineStr">
        <is>
          <t>Done</t>
        </is>
      </c>
      <c r="E9" s="16" t="inlineStr">
        <is>
          <t>Blocked</t>
        </is>
      </c>
      <c r="F9" s="16" t="inlineStr">
        <is>
          <t>Done</t>
        </is>
      </c>
      <c r="G9" s="14" t="inlineStr"/>
      <c r="H9" s="14" t="inlineStr"/>
      <c r="I9" s="14" t="inlineStr"/>
      <c r="J9" s="14" t="inlineStr"/>
      <c r="K9" s="14" t="inlineStr"/>
      <c r="L9" s="14" t="inlineStr"/>
    </row>
    <row r="10">
      <c r="A10" s="13" t="inlineStr">
        <is>
          <t>ML underwriting (LightGBM + SHAP, AUC)</t>
        </is>
      </c>
      <c r="B10" s="14" t="inlineStr">
        <is>
          <t>W2</t>
        </is>
      </c>
      <c r="C10" s="17" t="inlineStr">
        <is>
          <t>Target</t>
        </is>
      </c>
      <c r="D10" s="16" t="inlineStr">
        <is>
          <t>Done</t>
        </is>
      </c>
      <c r="E10" s="16" t="inlineStr">
        <is>
          <t>Not started</t>
        </is>
      </c>
      <c r="F10" s="16" t="inlineStr">
        <is>
          <t>Done</t>
        </is>
      </c>
      <c r="G10" s="14" t="inlineStr"/>
      <c r="H10" s="14" t="inlineStr"/>
      <c r="I10" s="14" t="inlineStr"/>
      <c r="J10" s="14" t="inlineStr"/>
      <c r="K10" s="14" t="inlineStr"/>
      <c r="L10" s="14" t="inlineStr"/>
    </row>
    <row r="11">
      <c r="A11" s="13" t="inlineStr">
        <is>
          <t>HTMX app + auth + Postgres sessions + logging</t>
        </is>
      </c>
      <c r="B11" s="14" t="inlineStr">
        <is>
          <t>W2</t>
        </is>
      </c>
      <c r="C11" s="17" t="inlineStr">
        <is>
          <t>Target</t>
        </is>
      </c>
      <c r="D11" s="16" t="inlineStr">
        <is>
          <t>Done</t>
        </is>
      </c>
      <c r="E11" s="16" t="inlineStr">
        <is>
          <t>Done</t>
        </is>
      </c>
      <c r="F11" s="16" t="inlineStr">
        <is>
          <t>Done</t>
        </is>
      </c>
      <c r="G11" s="14" t="inlineStr"/>
      <c r="H11" s="14" t="inlineStr"/>
      <c r="I11" s="14" t="inlineStr"/>
      <c r="J11" s="14" t="inlineStr"/>
      <c r="K11" s="14" t="inlineStr"/>
      <c r="L11" s="14" t="inlineStr"/>
    </row>
    <row r="12">
      <c r="A12" s="13" t="inlineStr">
        <is>
          <t>Redis API (contract, cache, streams, k6)</t>
        </is>
      </c>
      <c r="B12" s="14" t="inlineStr">
        <is>
          <t>W2</t>
        </is>
      </c>
      <c r="C12" s="17" t="inlineStr">
        <is>
          <t>Target</t>
        </is>
      </c>
      <c r="D12" s="16" t="inlineStr">
        <is>
          <t>WIP</t>
        </is>
      </c>
      <c r="E12" s="16" t="inlineStr">
        <is>
          <t>Not started</t>
        </is>
      </c>
      <c r="F12" s="16" t="inlineStr">
        <is>
          <t>Done</t>
        </is>
      </c>
      <c r="G12" s="14" t="inlineStr"/>
      <c r="H12" s="14" t="inlineStr"/>
      <c r="I12" s="14" t="inlineStr"/>
      <c r="J12" s="14" t="inlineStr"/>
      <c r="K12" s="14" t="inlineStr"/>
      <c r="L12" s="14" t="inlineStr"/>
    </row>
    <row r="13">
      <c r="A13" s="13" t="inlineStr">
        <is>
          <t>SPARQL / ontology + HITL</t>
        </is>
      </c>
      <c r="B13" s="14" t="inlineStr">
        <is>
          <t>W2</t>
        </is>
      </c>
      <c r="C13" s="18" t="inlineStr">
        <is>
          <t>Stretch</t>
        </is>
      </c>
      <c r="D13" s="16" t="inlineStr">
        <is>
          <t>Not started</t>
        </is>
      </c>
      <c r="E13" s="16" t="inlineStr">
        <is>
          <t>Not started</t>
        </is>
      </c>
      <c r="F13" s="16" t="inlineStr">
        <is>
          <t>Done</t>
        </is>
      </c>
      <c r="G13" s="14" t="inlineStr"/>
      <c r="H13" s="14" t="inlineStr"/>
      <c r="I13" s="14" t="inlineStr"/>
      <c r="J13" s="14" t="inlineStr"/>
      <c r="K13" s="14" t="inlineStr"/>
      <c r="L13" s="14" t="inlineStr"/>
    </row>
    <row r="14">
      <c r="A14" s="13" t="inlineStr">
        <is>
          <t>Security/red-team + ADRs + demo</t>
        </is>
      </c>
      <c r="B14" s="14" t="inlineStr">
        <is>
          <t>W2</t>
        </is>
      </c>
      <c r="C14" s="19" t="inlineStr">
        <is>
          <t>-</t>
        </is>
      </c>
      <c r="D14" s="16" t="inlineStr">
        <is>
          <t>WIP</t>
        </is>
      </c>
      <c r="E14" s="16" t="inlineStr">
        <is>
          <t>Not started</t>
        </is>
      </c>
      <c r="F14" s="16" t="inlineStr">
        <is>
          <t>Done</t>
        </is>
      </c>
      <c r="G14" s="14" t="inlineStr"/>
      <c r="H14" s="14" t="inlineStr"/>
      <c r="I14" s="14" t="inlineStr"/>
      <c r="J14" s="14" t="inlineStr"/>
      <c r="K14" s="14" t="inlineStr"/>
      <c r="L14" s="14" t="inlineStr"/>
    </row>
    <row r="15">
      <c r="A15" s="20" t="inlineStr">
        <is>
          <t>% Done</t>
        </is>
      </c>
      <c r="B15" s="21" t="n"/>
      <c r="C15" s="21" t="n"/>
      <c r="D15" s="22">
        <f>COUNTIF(D4:D14,"Done")/11</f>
        <v/>
      </c>
      <c r="E15" s="22">
        <f>COUNTIF(E4:E14,"Done")/11</f>
        <v/>
      </c>
      <c r="F15" s="22">
        <f>COUNTIF(F4:F14,"Done")/11</f>
        <v/>
      </c>
      <c r="G15" s="22">
        <f>COUNTIF(G4:G14,"Done")/11</f>
        <v/>
      </c>
      <c r="H15" s="22">
        <f>COUNTIF(H4:H14,"Done")/11</f>
        <v/>
      </c>
      <c r="I15" s="22">
        <f>COUNTIF(I4:I14,"Done")/11</f>
        <v/>
      </c>
      <c r="J15" s="22">
        <f>COUNTIF(J4:J14,"Done")/11</f>
        <v/>
      </c>
      <c r="K15" s="22">
        <f>COUNTIF(K4:K14,"Done")/11</f>
        <v/>
      </c>
      <c r="L15" s="22">
        <f>COUNTIF(L4:L14,"Done")/11</f>
        <v/>
      </c>
    </row>
  </sheetData>
  <mergeCells count="2">
    <mergeCell ref="A2:L2"/>
    <mergeCell ref="A1:L1"/>
  </mergeCells>
  <conditionalFormatting sqref="D4:L14">
    <cfRule type="cellIs" priority="1" operator="equal" dxfId="0">
      <formula>"Done"</formula>
    </cfRule>
    <cfRule type="cellIs" priority="2" operator="equal" dxfId="1">
      <formula>"WIP"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1">
    <dataValidation sqref="D4:L14" showDropDown="0" showInputMessage="0" showErrorMessage="0" allowBlank="1" type="list">
      <formula1>"Done,WIP,Blocked,Not started"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74" customWidth="1" min="3" max="3"/>
    <col width="10" customWidth="1" min="4" max="4"/>
  </cols>
  <sheetData>
    <row r="1" ht="26" customHeight="1">
      <c r="A1" s="1" t="inlineStr">
        <is>
          <t>Weekly milestones — what 'on track' means</t>
        </is>
      </c>
    </row>
    <row r="2">
      <c r="A2" s="2" t="inlineStr">
        <is>
          <t>Mirrors challenge-wbs.xlsx. Week 1 clears MUST; Week 2 reaches Target (Stretch = standout).</t>
        </is>
      </c>
    </row>
    <row r="3">
      <c r="A3" s="4" t="inlineStr">
        <is>
          <t>Week</t>
        </is>
      </c>
      <c r="B3" s="4" t="inlineStr">
        <is>
          <t>Days</t>
        </is>
      </c>
      <c r="C3" s="4" t="inlineStr">
        <is>
          <t>Expected milestones</t>
        </is>
      </c>
      <c r="D3" s="4" t="inlineStr">
        <is>
          <t>Tier</t>
        </is>
      </c>
    </row>
    <row r="4">
      <c r="A4" s="10" t="inlineStr">
        <is>
          <t>Week 1</t>
        </is>
      </c>
      <c r="B4" s="10" t="inlineStr">
        <is>
          <t>D1-2</t>
        </is>
      </c>
      <c r="C4" s="12" t="inlineStr">
        <is>
          <t>Stack up (compose+seed); OCR detection + deskew</t>
        </is>
      </c>
      <c r="D4" s="23" t="inlineStr">
        <is>
          <t>MUST</t>
        </is>
      </c>
    </row>
    <row r="5">
      <c r="A5" s="10" t="inlineStr">
        <is>
          <t>Week 1</t>
        </is>
      </c>
      <c r="B5" s="10" t="inlineStr">
        <is>
          <t>D3-4</t>
        </is>
      </c>
      <c r="C5" s="12" t="inlineStr">
        <is>
          <t>OCR structure + cursive + stitch; load to Postgres + pgvector</t>
        </is>
      </c>
      <c r="D5" s="23" t="inlineStr">
        <is>
          <t>MUST</t>
        </is>
      </c>
    </row>
    <row r="6">
      <c r="A6" s="10" t="inlineStr">
        <is>
          <t>Week 1</t>
        </is>
      </c>
      <c r="B6" s="10" t="inlineStr">
        <is>
          <t>D5-7</t>
        </is>
      </c>
      <c r="C6" s="12" t="inlineStr">
        <is>
          <t>NL-to-SQL (link+generate+validate+execute); LangGraph SQL slice E2E</t>
        </is>
      </c>
      <c r="D6" s="23" t="inlineStr">
        <is>
          <t>MUST</t>
        </is>
      </c>
    </row>
    <row r="7">
      <c r="A7" s="10" t="inlineStr">
        <is>
          <t>Week 2</t>
        </is>
      </c>
      <c r="B7" s="10" t="inlineStr">
        <is>
          <t>D8-9</t>
        </is>
      </c>
      <c r="C7" s="12" t="inlineStr">
        <is>
          <t>RAG + reranker (nDCG lift); LightGBM underwriting (AUC + reasons)</t>
        </is>
      </c>
      <c r="D7" s="24" t="inlineStr">
        <is>
          <t>Target</t>
        </is>
      </c>
    </row>
    <row r="8">
      <c r="A8" s="10" t="inlineStr">
        <is>
          <t>Week 2</t>
        </is>
      </c>
      <c r="B8" s="10" t="inlineStr">
        <is>
          <t>D10-11</t>
        </is>
      </c>
      <c r="C8" s="12" t="inlineStr">
        <is>
          <t>Agents breadth (&gt;=10 nodes); HTMX chat wired to graph (SSE)</t>
        </is>
      </c>
      <c r="D8" s="24" t="inlineStr">
        <is>
          <t>Target</t>
        </is>
      </c>
    </row>
    <row r="9">
      <c r="A9" s="10" t="inlineStr">
        <is>
          <t>Week 2</t>
        </is>
      </c>
      <c r="B9" s="10" t="inlineStr">
        <is>
          <t>D12</t>
        </is>
      </c>
      <c r="C9" s="12" t="inlineStr">
        <is>
          <t>Redis API: endpoints, cache, rate-limit, idempotency, streams; k6</t>
        </is>
      </c>
      <c r="D9" s="24" t="inlineStr">
        <is>
          <t>Target</t>
        </is>
      </c>
    </row>
    <row r="10">
      <c r="A10" s="10" t="inlineStr">
        <is>
          <t>Week 2</t>
        </is>
      </c>
      <c r="B10" s="10" t="inlineStr">
        <is>
          <t>D13</t>
        </is>
      </c>
      <c r="C10" s="12" t="inlineStr">
        <is>
          <t>SPARQL lane + HITL + policy/compliance; load-test + tune</t>
        </is>
      </c>
      <c r="D10" s="25" t="inlineStr">
        <is>
          <t>Stretch</t>
        </is>
      </c>
    </row>
    <row r="11">
      <c r="A11" s="10" t="inlineStr">
        <is>
          <t>Week 2</t>
        </is>
      </c>
      <c r="B11" s="10" t="inlineStr">
        <is>
          <t>D14</t>
        </is>
      </c>
      <c r="C11" s="12" t="inlineStr">
        <is>
          <t>Security/red-team, ADRs, README, demo, final scorecard + PR</t>
        </is>
      </c>
      <c r="D11" s="26" t="inlineStr">
        <is>
          <t>-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26" customHeight="1">
      <c r="A1" s="1" t="inlineStr">
        <is>
          <t>Cohort Dashboard</t>
        </is>
      </c>
    </row>
    <row r="3">
      <c r="A3" s="27" t="inlineStr">
        <is>
          <t>Metric</t>
        </is>
      </c>
      <c r="B3" s="27" t="inlineStr">
        <is>
          <t>Value</t>
        </is>
      </c>
    </row>
    <row r="4">
      <c r="A4" s="28" t="inlineStr">
        <is>
          <t>Consultants tracked</t>
        </is>
      </c>
      <c r="B4" s="29">
        <f>COUNTIF('Weekly Status'!B5:B13,"solution/*")</f>
        <v/>
      </c>
    </row>
    <row r="5">
      <c r="A5" s="28" t="inlineStr">
        <is>
          <t>On track (W2 Green)</t>
        </is>
      </c>
      <c r="B5" s="29">
        <f>COUNTIF('Weekly Status'!L5:L13,"Green")</f>
        <v/>
      </c>
    </row>
    <row r="6">
      <c r="A6" s="28" t="inlineStr">
        <is>
          <t>At risk (W2 Amber)</t>
        </is>
      </c>
      <c r="B6" s="29">
        <f>COUNTIF('Weekly Status'!L5:L13,"Amber")</f>
        <v/>
      </c>
    </row>
    <row r="7">
      <c r="A7" s="28" t="inlineStr">
        <is>
          <t>Behind (W2 Red)</t>
        </is>
      </c>
      <c r="B7" s="29">
        <f>COUNTIF('Weekly Status'!L5:L13,"Red")</f>
        <v/>
      </c>
    </row>
    <row r="8">
      <c r="A8" s="28" t="inlineStr">
        <is>
          <t>Passing (score &gt;= 70)</t>
        </is>
      </c>
      <c r="B8" s="29">
        <f>COUNTIF('Weekly Status'!Q5:Q13,"&gt;=70")</f>
        <v/>
      </c>
    </row>
    <row r="9">
      <c r="A9" s="28" t="inlineStr">
        <is>
          <t>Average score</t>
        </is>
      </c>
      <c r="B9" s="29">
        <f>IFERROR(ROUND(AVERAGE('Weekly Status'!Q5:Q13),1),"-")</f>
        <v/>
      </c>
    </row>
    <row r="10">
      <c r="A10" s="28" t="inlineStr">
        <is>
          <t>Reached Stretch</t>
        </is>
      </c>
      <c r="B10" s="29">
        <f>COUNTIF('Weekly Status'!P5:P13,"Stretch")</f>
        <v/>
      </c>
    </row>
    <row r="13">
      <c r="A13" s="27" t="inlineStr">
        <is>
          <t>W2 status</t>
        </is>
      </c>
      <c r="B13" s="27" t="inlineStr">
        <is>
          <t>Count</t>
        </is>
      </c>
    </row>
    <row r="14">
      <c r="A14" s="21" t="inlineStr">
        <is>
          <t>Green</t>
        </is>
      </c>
      <c r="B14" s="21">
        <f>COUNTIF('Weekly Status'!L5:L13,"Green")</f>
        <v/>
      </c>
    </row>
    <row r="15">
      <c r="A15" s="21" t="inlineStr">
        <is>
          <t>Amber</t>
        </is>
      </c>
      <c r="B15" s="21">
        <f>COUNTIF('Weekly Status'!L5:L13,"Amber")</f>
        <v/>
      </c>
    </row>
    <row r="16">
      <c r="A16" s="21" t="inlineStr">
        <is>
          <t>Red</t>
        </is>
      </c>
      <c r="B16" s="21">
        <f>COUNTIF('Weekly Status'!L5:L13,"Red")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26" customHeight="1">
      <c r="A1" s="1" t="inlineStr">
        <is>
          <t>How to use this tracker</t>
        </is>
      </c>
    </row>
    <row r="3">
      <c r="A3" s="30" t="inlineStr">
        <is>
          <t>This workbook ships with 3 EXAMPLE consultants (shaded rows/columns) so you can see it populated.</t>
        </is>
      </c>
    </row>
    <row r="4">
      <c r="A4" s="30" t="inlineStr">
        <is>
          <t>Delete or overwrite them with your real cohort.</t>
        </is>
      </c>
    </row>
    <row r="5">
      <c r="A5" s="30" t="inlineStr"/>
    </row>
    <row r="6">
      <c r="A6" s="31" t="inlineStr">
        <is>
          <t>WEEKLY (twice, end of each week):</t>
        </is>
      </c>
    </row>
    <row r="7">
      <c r="A7" s="30" t="inlineStr">
        <is>
          <t>1. From the repo root:  git fetch --all --prune</t>
        </is>
      </c>
    </row>
    <row r="8">
      <c r="A8" s="30" t="inlineStr">
        <is>
          <t>2. Auto-pull activity:  python grading-kit/harness/consultant_status.py --start &lt;cohort-start&gt; --csv status.csv</t>
        </is>
      </c>
    </row>
    <row r="9">
      <c r="A9" s="30" t="inlineStr">
        <is>
          <t xml:space="preserve">   -&gt; Week-1 vs Week-2 commits, ahead count, last activity, PR+CI, and a grading-kit tamper flag.</t>
        </is>
      </c>
    </row>
    <row r="10">
      <c r="A10" s="30" t="inlineStr">
        <is>
          <t>3. 'Weekly Status' tab: one row per consultant. Paste commit counts; set W1/W2 RAG (Green/Amber/Red),</t>
        </is>
      </c>
    </row>
    <row r="11">
      <c r="A11" s="30" t="inlineStr">
        <is>
          <t xml:space="preserve">   % complete, and notes. 'Due' and 'Pass?' compute automatically.</t>
        </is>
      </c>
    </row>
    <row r="12">
      <c r="A12" s="30" t="inlineStr">
        <is>
          <t>4. 'Milestone Matrix' tab: set each capability to Done / WIP / Blocked / Not started per consultant.</t>
        </is>
      </c>
    </row>
    <row r="13">
      <c r="A13" s="30" t="inlineStr">
        <is>
          <t xml:space="preserve">   The '% Done' row and the cell colours update automatically. This is the granular progress view.</t>
        </is>
      </c>
    </row>
    <row r="14">
      <c r="A14" s="30" t="inlineStr">
        <is>
          <t>5. 'Weekly Checklist' tab tells you what 'on track' means each week (Week 1 = MUST, Week 2 = Target+).</t>
        </is>
      </c>
    </row>
    <row r="15">
      <c r="A15" s="30" t="inlineStr"/>
    </row>
    <row r="16">
      <c r="A16" s="31" t="inlineStr">
        <is>
          <t>FINAL (end of 14 days):</t>
        </is>
      </c>
    </row>
    <row r="17">
      <c r="A17" s="30" t="inlineStr">
        <is>
          <t>6. Run the grader (see grading-kit/RUNBOOK.md): docker compose up -&gt; harness/scorer.py -&gt; scorecard.json.</t>
        </is>
      </c>
    </row>
    <row r="18">
      <c r="A18" s="30" t="inlineStr">
        <is>
          <t>7. Enter Tier reached + Score /100 on 'Weekly Status'. Pass? computes (&gt;=70).</t>
        </is>
      </c>
    </row>
    <row r="19">
      <c r="A19" s="30" t="inlineStr">
        <is>
          <t>8. 'Dashboard' rolls up the cohort (on-track / at-risk / behind, passing, average score).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2026-07-01T04:26:10Z</dcterms:created>
  <dcterms:modified xmlns:dcterms="http://purl.org/dc/terms/" xmlns:xsi="http://www.w3.org/2001/XMLSchema-instance" xsi:type="dcterms:W3CDTF">2026-07-01T04:26:10Z</dcterms:modified>
</cp:coreProperties>
</file>