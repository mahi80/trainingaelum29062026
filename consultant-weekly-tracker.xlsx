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Tracker" sheetId="1" state="visible" r:id="rId1"/>
    <sheet xmlns:r="http://schemas.openxmlformats.org/officeDocument/2006/relationships" name="Weekly Checklist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0404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864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2E2E2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indent="1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5" fillId="0" borderId="0" pivotButton="0" quotePrefix="0" xfId="0"/>
    <xf numFmtId="0" fontId="4" fillId="0" borderId="1" pivotButton="0" quotePrefix="0" xfId="0"/>
    <xf numFmtId="0" fontId="6" fillId="8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Week-2 status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'Dashboard'!$A$14:$A$16</f>
            </numRef>
          </cat>
          <val>
            <numRef>
              <f>'Dashboard'!$B$14:$B$16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1" customWidth="1" min="3" max="3"/>
    <col width="11" customWidth="1" min="4" max="4"/>
    <col width="30" customWidth="1" min="5" max="5"/>
    <col width="9" customWidth="1" min="6" max="6"/>
    <col width="7" customWidth="1" min="7" max="7"/>
    <col width="9" customWidth="1" min="8" max="8"/>
    <col width="26" customWidth="1" min="9" max="9"/>
    <col width="30" customWidth="1" min="10" max="10"/>
    <col width="9" customWidth="1" min="11" max="11"/>
    <col width="7" customWidth="1" min="12" max="12"/>
    <col width="9" customWidth="1" min="13" max="13"/>
    <col width="26" customWidth="1" min="14" max="14"/>
    <col width="12" customWidth="1" min="15" max="15"/>
    <col width="9" customWidth="1" min="16" max="16"/>
    <col width="8" customWidth="1" min="17" max="17"/>
    <col width="24" customWidth="1" min="18" max="18"/>
  </cols>
  <sheetData>
    <row r="1" ht="26" customHeight="1">
      <c r="A1" s="1" t="inlineStr">
        <is>
          <t>Consultant Weekly Tracker — AutoLoan-DocIntel (14-day take-home)</t>
        </is>
      </c>
    </row>
    <row r="2">
      <c r="A2" s="2" t="inlineStr">
        <is>
          <t>One row per consultant. Update at each weekly check-in. RAG/Tier/Pass have dropdowns. Auto-fill commit columns from grading-kit/harness/consultant_status.py.</t>
        </is>
      </c>
    </row>
    <row r="3">
      <c r="A3" s="3" t="inlineStr">
        <is>
          <t>Identity</t>
        </is>
      </c>
      <c r="E3" s="3" t="inlineStr">
        <is>
          <t>Week 1 check  (Days 1-7)</t>
        </is>
      </c>
      <c r="J3" s="3" t="inlineStr">
        <is>
          <t>Week 2 check  (Days 8-14)</t>
        </is>
      </c>
      <c r="O3" s="3" t="inlineStr">
        <is>
          <t>Final</t>
        </is>
      </c>
    </row>
    <row r="4">
      <c r="A4" s="4" t="inlineStr">
        <is>
          <t>Consultant</t>
        </is>
      </c>
      <c r="B4" s="4" t="inlineStr">
        <is>
          <t>Branch (solution/&lt;name&gt;)</t>
        </is>
      </c>
      <c r="C4" s="4" t="inlineStr">
        <is>
          <t>Start</t>
        </is>
      </c>
      <c r="D4" s="4" t="inlineStr">
        <is>
          <t>Due (+14d)</t>
        </is>
      </c>
      <c r="E4" s="4" t="inlineStr">
        <is>
          <t>Wk1 expected</t>
        </is>
      </c>
      <c r="F4" s="4" t="inlineStr">
        <is>
          <t>Wk1 commits</t>
        </is>
      </c>
      <c r="G4" s="4" t="inlineStr">
        <is>
          <t>Wk1 %</t>
        </is>
      </c>
      <c r="H4" s="4" t="inlineStr">
        <is>
          <t>Wk1 RAG</t>
        </is>
      </c>
      <c r="I4" s="4" t="inlineStr">
        <is>
          <t>Wk1 blockers / notes</t>
        </is>
      </c>
      <c r="J4" s="4" t="inlineStr">
        <is>
          <t>Wk2 expected</t>
        </is>
      </c>
      <c r="K4" s="4" t="inlineStr">
        <is>
          <t>Wk2 commits</t>
        </is>
      </c>
      <c r="L4" s="4" t="inlineStr">
        <is>
          <t>Wk2 %</t>
        </is>
      </c>
      <c r="M4" s="4" t="inlineStr">
        <is>
          <t>Wk2 RAG</t>
        </is>
      </c>
      <c r="N4" s="4" t="inlineStr">
        <is>
          <t>Wk2 blockers / notes</t>
        </is>
      </c>
      <c r="O4" s="4" t="inlineStr">
        <is>
          <t>Tier reached</t>
        </is>
      </c>
      <c r="P4" s="4" t="inlineStr">
        <is>
          <t>Score /100</t>
        </is>
      </c>
      <c r="Q4" s="4" t="inlineStr">
        <is>
          <t>Pass?</t>
        </is>
      </c>
      <c r="R4" s="4" t="inlineStr">
        <is>
          <t>Recommendation</t>
        </is>
      </c>
    </row>
    <row r="5">
      <c r="A5" s="5" t="n"/>
      <c r="B5" s="5" t="n"/>
      <c r="C5" s="6" t="n"/>
      <c r="D5" s="6">
        <f>IF(C5="","",C5+14)</f>
        <v/>
      </c>
      <c r="E5" s="7" t="inlineStr">
        <is>
          <t>MUST slice: setup + OCR + load to pgvector + NL-to-SQL + graph core</t>
        </is>
      </c>
      <c r="F5" s="6" t="n"/>
      <c r="G5" s="6" t="n"/>
      <c r="H5" s="6" t="n"/>
      <c r="I5" s="7" t="n"/>
      <c r="J5" s="7" t="inlineStr">
        <is>
          <t>Target+: RAG+rerank, underwriting, ≥10 nodes, HTMX, Redis API, stretch, docs</t>
        </is>
      </c>
      <c r="K5" s="6" t="n"/>
      <c r="L5" s="6" t="n"/>
      <c r="M5" s="6" t="n"/>
      <c r="N5" s="7" t="n"/>
      <c r="O5" s="6" t="n"/>
      <c r="P5" s="6" t="n"/>
      <c r="Q5" s="6">
        <f>IF(P5="","",IF(P5&gt;=70,"PASS","FAIL"))</f>
        <v/>
      </c>
      <c r="R5" s="7" t="n"/>
    </row>
    <row r="6">
      <c r="A6" s="5" t="n"/>
      <c r="B6" s="5" t="n"/>
      <c r="C6" s="6" t="n"/>
      <c r="D6" s="6">
        <f>IF(C6="","",C6+14)</f>
        <v/>
      </c>
      <c r="E6" s="7" t="inlineStr">
        <is>
          <t>MUST slice: setup + OCR + load to pgvector + NL-to-SQL + graph core</t>
        </is>
      </c>
      <c r="F6" s="6" t="n"/>
      <c r="G6" s="6" t="n"/>
      <c r="H6" s="6" t="n"/>
      <c r="I6" s="7" t="n"/>
      <c r="J6" s="7" t="inlineStr">
        <is>
          <t>Target+: RAG+rerank, underwriting, ≥10 nodes, HTMX, Redis API, stretch, docs</t>
        </is>
      </c>
      <c r="K6" s="6" t="n"/>
      <c r="L6" s="6" t="n"/>
      <c r="M6" s="6" t="n"/>
      <c r="N6" s="7" t="n"/>
      <c r="O6" s="6" t="n"/>
      <c r="P6" s="6" t="n"/>
      <c r="Q6" s="6">
        <f>IF(P6="","",IF(P6&gt;=70,"PASS","FAIL"))</f>
        <v/>
      </c>
      <c r="R6" s="7" t="n"/>
    </row>
    <row r="7">
      <c r="A7" s="5" t="n"/>
      <c r="B7" s="5" t="n"/>
      <c r="C7" s="6" t="n"/>
      <c r="D7" s="6">
        <f>IF(C7="","",C7+14)</f>
        <v/>
      </c>
      <c r="E7" s="7" t="inlineStr">
        <is>
          <t>MUST slice: setup + OCR + load to pgvector + NL-to-SQL + graph core</t>
        </is>
      </c>
      <c r="F7" s="6" t="n"/>
      <c r="G7" s="6" t="n"/>
      <c r="H7" s="6" t="n"/>
      <c r="I7" s="7" t="n"/>
      <c r="J7" s="7" t="inlineStr">
        <is>
          <t>Target+: RAG+rerank, underwriting, ≥10 nodes, HTMX, Redis API, stretch, docs</t>
        </is>
      </c>
      <c r="K7" s="6" t="n"/>
      <c r="L7" s="6" t="n"/>
      <c r="M7" s="6" t="n"/>
      <c r="N7" s="7" t="n"/>
      <c r="O7" s="6" t="n"/>
      <c r="P7" s="6" t="n"/>
      <c r="Q7" s="6">
        <f>IF(P7="","",IF(P7&gt;=70,"PASS","FAIL"))</f>
        <v/>
      </c>
      <c r="R7" s="7" t="n"/>
    </row>
    <row r="8">
      <c r="A8" s="5" t="n"/>
      <c r="B8" s="5" t="n"/>
      <c r="C8" s="6" t="n"/>
      <c r="D8" s="6">
        <f>IF(C8="","",C8+14)</f>
        <v/>
      </c>
      <c r="E8" s="7" t="inlineStr">
        <is>
          <t>MUST slice: setup + OCR + load to pgvector + NL-to-SQL + graph core</t>
        </is>
      </c>
      <c r="F8" s="6" t="n"/>
      <c r="G8" s="6" t="n"/>
      <c r="H8" s="6" t="n"/>
      <c r="I8" s="7" t="n"/>
      <c r="J8" s="7" t="inlineStr">
        <is>
          <t>Target+: RAG+rerank, underwriting, ≥10 nodes, HTMX, Redis API, stretch, docs</t>
        </is>
      </c>
      <c r="K8" s="6" t="n"/>
      <c r="L8" s="6" t="n"/>
      <c r="M8" s="6" t="n"/>
      <c r="N8" s="7" t="n"/>
      <c r="O8" s="6" t="n"/>
      <c r="P8" s="6" t="n"/>
      <c r="Q8" s="6">
        <f>IF(P8="","",IF(P8&gt;=70,"PASS","FAIL"))</f>
        <v/>
      </c>
      <c r="R8" s="7" t="n"/>
    </row>
    <row r="9">
      <c r="A9" s="5" t="n"/>
      <c r="B9" s="5" t="n"/>
      <c r="C9" s="6" t="n"/>
      <c r="D9" s="6">
        <f>IF(C9="","",C9+14)</f>
        <v/>
      </c>
      <c r="E9" s="7" t="inlineStr">
        <is>
          <t>MUST slice: setup + OCR + load to pgvector + NL-to-SQL + graph core</t>
        </is>
      </c>
      <c r="F9" s="6" t="n"/>
      <c r="G9" s="6" t="n"/>
      <c r="H9" s="6" t="n"/>
      <c r="I9" s="7" t="n"/>
      <c r="J9" s="7" t="inlineStr">
        <is>
          <t>Target+: RAG+rerank, underwriting, ≥10 nodes, HTMX, Redis API, stretch, docs</t>
        </is>
      </c>
      <c r="K9" s="6" t="n"/>
      <c r="L9" s="6" t="n"/>
      <c r="M9" s="6" t="n"/>
      <c r="N9" s="7" t="n"/>
      <c r="O9" s="6" t="n"/>
      <c r="P9" s="6" t="n"/>
      <c r="Q9" s="6">
        <f>IF(P9="","",IF(P9&gt;=70,"PASS","FAIL"))</f>
        <v/>
      </c>
      <c r="R9" s="7" t="n"/>
    </row>
    <row r="10">
      <c r="A10" s="5" t="n"/>
      <c r="B10" s="5" t="n"/>
      <c r="C10" s="6" t="n"/>
      <c r="D10" s="6">
        <f>IF(C10="","",C10+14)</f>
        <v/>
      </c>
      <c r="E10" s="7" t="inlineStr">
        <is>
          <t>MUST slice: setup + OCR + load to pgvector + NL-to-SQL + graph core</t>
        </is>
      </c>
      <c r="F10" s="6" t="n"/>
      <c r="G10" s="6" t="n"/>
      <c r="H10" s="6" t="n"/>
      <c r="I10" s="7" t="n"/>
      <c r="J10" s="7" t="inlineStr">
        <is>
          <t>Target+: RAG+rerank, underwriting, ≥10 nodes, HTMX, Redis API, stretch, docs</t>
        </is>
      </c>
      <c r="K10" s="6" t="n"/>
      <c r="L10" s="6" t="n"/>
      <c r="M10" s="6" t="n"/>
      <c r="N10" s="7" t="n"/>
      <c r="O10" s="6" t="n"/>
      <c r="P10" s="6" t="n"/>
      <c r="Q10" s="6">
        <f>IF(P10="","",IF(P10&gt;=70,"PASS","FAIL"))</f>
        <v/>
      </c>
      <c r="R10" s="7" t="n"/>
    </row>
    <row r="11">
      <c r="A11" s="5" t="n"/>
      <c r="B11" s="5" t="n"/>
      <c r="C11" s="6" t="n"/>
      <c r="D11" s="6">
        <f>IF(C11="","",C11+14)</f>
        <v/>
      </c>
      <c r="E11" s="7" t="inlineStr">
        <is>
          <t>MUST slice: setup + OCR + load to pgvector + NL-to-SQL + graph core</t>
        </is>
      </c>
      <c r="F11" s="6" t="n"/>
      <c r="G11" s="6" t="n"/>
      <c r="H11" s="6" t="n"/>
      <c r="I11" s="7" t="n"/>
      <c r="J11" s="7" t="inlineStr">
        <is>
          <t>Target+: RAG+rerank, underwriting, ≥10 nodes, HTMX, Redis API, stretch, docs</t>
        </is>
      </c>
      <c r="K11" s="6" t="n"/>
      <c r="L11" s="6" t="n"/>
      <c r="M11" s="6" t="n"/>
      <c r="N11" s="7" t="n"/>
      <c r="O11" s="6" t="n"/>
      <c r="P11" s="6" t="n"/>
      <c r="Q11" s="6">
        <f>IF(P11="","",IF(P11&gt;=70,"PASS","FAIL"))</f>
        <v/>
      </c>
      <c r="R11" s="7" t="n"/>
    </row>
    <row r="12">
      <c r="A12" s="5" t="n"/>
      <c r="B12" s="5" t="n"/>
      <c r="C12" s="6" t="n"/>
      <c r="D12" s="6">
        <f>IF(C12="","",C12+14)</f>
        <v/>
      </c>
      <c r="E12" s="7" t="inlineStr">
        <is>
          <t>MUST slice: setup + OCR + load to pgvector + NL-to-SQL + graph core</t>
        </is>
      </c>
      <c r="F12" s="6" t="n"/>
      <c r="G12" s="6" t="n"/>
      <c r="H12" s="6" t="n"/>
      <c r="I12" s="7" t="n"/>
      <c r="J12" s="7" t="inlineStr">
        <is>
          <t>Target+: RAG+rerank, underwriting, ≥10 nodes, HTMX, Redis API, stretch, docs</t>
        </is>
      </c>
      <c r="K12" s="6" t="n"/>
      <c r="L12" s="6" t="n"/>
      <c r="M12" s="6" t="n"/>
      <c r="N12" s="7" t="n"/>
      <c r="O12" s="6" t="n"/>
      <c r="P12" s="6" t="n"/>
      <c r="Q12" s="6">
        <f>IF(P12="","",IF(P12&gt;=70,"PASS","FAIL"))</f>
        <v/>
      </c>
      <c r="R12" s="7" t="n"/>
    </row>
  </sheetData>
  <mergeCells count="6">
    <mergeCell ref="E3:I3"/>
    <mergeCell ref="J3:N3"/>
    <mergeCell ref="A2:R2"/>
    <mergeCell ref="A3:D3"/>
    <mergeCell ref="O3:R3"/>
    <mergeCell ref="A1:R1"/>
  </mergeCells>
  <conditionalFormatting sqref="H5:H12">
    <cfRule type="cellIs" priority="1" operator="equal" dxfId="0">
      <formula>"Green"</formula>
    </cfRule>
    <cfRule type="cellIs" priority="2" operator="equal" dxfId="1">
      <formula>"Amber"</formula>
    </cfRule>
    <cfRule type="cellIs" priority="3" operator="equal" dxfId="2">
      <formula>"Red"</formula>
    </cfRule>
  </conditionalFormatting>
  <conditionalFormatting sqref="M5:M12">
    <cfRule type="cellIs" priority="4" operator="equal" dxfId="0">
      <formula>"Green"</formula>
    </cfRule>
    <cfRule type="cellIs" priority="5" operator="equal" dxfId="1">
      <formula>"Amber"</formula>
    </cfRule>
    <cfRule type="cellIs" priority="6" operator="equal" dxfId="2">
      <formula>"Red"</formula>
    </cfRule>
  </conditionalFormatting>
  <conditionalFormatting sqref="Q5:Q12">
    <cfRule type="cellIs" priority="7" operator="equal" dxfId="0">
      <formula>"PASS"</formula>
    </cfRule>
    <cfRule type="cellIs" priority="8" operator="equal" dxfId="2">
      <formula>"FAIL"</formula>
    </cfRule>
  </conditionalFormatting>
  <dataValidations count="2">
    <dataValidation sqref="H5:H12 M5:M12" showDropDown="0" showInputMessage="0" showErrorMessage="0" allowBlank="1" type="list">
      <formula1>"Green,Amber,Red"</formula1>
    </dataValidation>
    <dataValidation sqref="O5:O12" showDropDown="0" showInputMessage="0" showErrorMessage="0" allowBlank="1" type="list">
      <formula1>"None,MUST,Target,Stretch"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78" customWidth="1" min="3" max="3"/>
    <col width="10" customWidth="1" min="4" max="4"/>
  </cols>
  <sheetData>
    <row r="1" ht="26" customHeight="1">
      <c r="A1" s="1" t="inlineStr">
        <is>
          <t>Weekly milestones — what 'on track' looks like</t>
        </is>
      </c>
    </row>
    <row r="2">
      <c r="A2" s="2" t="inlineStr">
        <is>
          <t>Mirrors the candidate WBS in challenge-wbs.xlsx. Week 1 should clear MUST; Week 2 reaches Target (Stretch = standout).</t>
        </is>
      </c>
    </row>
    <row r="3">
      <c r="A3" s="4" t="inlineStr">
        <is>
          <t>Week</t>
        </is>
      </c>
      <c r="B3" s="4" t="inlineStr">
        <is>
          <t>Days</t>
        </is>
      </c>
      <c r="C3" s="4" t="inlineStr">
        <is>
          <t>Expected milestones</t>
        </is>
      </c>
      <c r="D3" s="4" t="inlineStr">
        <is>
          <t>Tier</t>
        </is>
      </c>
    </row>
    <row r="4">
      <c r="A4" s="6" t="inlineStr">
        <is>
          <t>Week 1</t>
        </is>
      </c>
      <c r="B4" s="6" t="inlineStr">
        <is>
          <t>D1-2</t>
        </is>
      </c>
      <c r="C4" s="7" t="inlineStr">
        <is>
          <t>Setup (compose up, models, seed); OCR detection + deskew on forms</t>
        </is>
      </c>
      <c r="D4" s="8" t="inlineStr">
        <is>
          <t>MUST</t>
        </is>
      </c>
    </row>
    <row r="5">
      <c r="A5" s="6" t="inlineStr">
        <is>
          <t>Week 1</t>
        </is>
      </c>
      <c r="B5" s="6" t="inlineStr">
        <is>
          <t>D3-4</t>
        </is>
      </c>
      <c r="C5" s="7" t="inlineStr">
        <is>
          <t>OCR structure + cursive + multi-page stitch; load extractions to Postgres + pgvector</t>
        </is>
      </c>
      <c r="D5" s="8" t="inlineStr">
        <is>
          <t>MUST</t>
        </is>
      </c>
    </row>
    <row r="6">
      <c r="A6" s="6" t="inlineStr">
        <is>
          <t>Week 1</t>
        </is>
      </c>
      <c r="B6" s="6" t="inlineStr">
        <is>
          <t>D5-7</t>
        </is>
      </c>
      <c r="C6" s="7" t="inlineStr">
        <is>
          <t>NL-to-SQL (schema-link + generate + validate/repair + execute); LangGraph SQL slice end-to-end</t>
        </is>
      </c>
      <c r="D6" s="8" t="inlineStr">
        <is>
          <t>MUST</t>
        </is>
      </c>
    </row>
    <row r="7">
      <c r="A7" s="6" t="inlineStr">
        <is>
          <t>Week 2</t>
        </is>
      </c>
      <c r="B7" s="6" t="inlineStr">
        <is>
          <t>D8-9</t>
        </is>
      </c>
      <c r="C7" s="7" t="inlineStr">
        <is>
          <t>RAG: hybrid retrieval + reranker (nDCG lift); LightGBM underwriting (AUC + reasons)</t>
        </is>
      </c>
      <c r="D7" s="9" t="inlineStr">
        <is>
          <t>Target</t>
        </is>
      </c>
    </row>
    <row r="8">
      <c r="A8" s="6" t="inlineStr">
        <is>
          <t>Week 2</t>
        </is>
      </c>
      <c r="B8" s="6" t="inlineStr">
        <is>
          <t>D10-11</t>
        </is>
      </c>
      <c r="C8" s="7" t="inlineStr">
        <is>
          <t>Agents breadth (≥10 nodes wired); HTMX chat console wired to graph (SSE)</t>
        </is>
      </c>
      <c r="D8" s="9" t="inlineStr">
        <is>
          <t>Target</t>
        </is>
      </c>
    </row>
    <row r="9">
      <c r="A9" s="6" t="inlineStr">
        <is>
          <t>Week 2</t>
        </is>
      </c>
      <c r="B9" s="6" t="inlineStr">
        <is>
          <t>D12</t>
        </is>
      </c>
      <c r="C9" s="7" t="inlineStr">
        <is>
          <t>Redis API: contract endpoints, cache, rate-limit, idempotency, Streams ingestion; k6</t>
        </is>
      </c>
      <c r="D9" s="9" t="inlineStr">
        <is>
          <t>Target</t>
        </is>
      </c>
    </row>
    <row r="10">
      <c r="A10" s="6" t="inlineStr">
        <is>
          <t>Week 2</t>
        </is>
      </c>
      <c r="B10" s="6" t="inlineStr">
        <is>
          <t>D13</t>
        </is>
      </c>
      <c r="C10" s="7" t="inlineStr">
        <is>
          <t>SPARQL lane + HITL + policy/compliance; load-test + tune</t>
        </is>
      </c>
      <c r="D10" s="10" t="inlineStr">
        <is>
          <t>Stretch</t>
        </is>
      </c>
    </row>
    <row r="11">
      <c r="A11" s="6" t="inlineStr">
        <is>
          <t>Week 2</t>
        </is>
      </c>
      <c r="B11" s="6" t="inlineStr">
        <is>
          <t>D14</t>
        </is>
      </c>
      <c r="C11" s="7" t="inlineStr">
        <is>
          <t>Security/red-team, ADRs, README, demo, final scorecard + PR</t>
        </is>
      </c>
      <c r="D11" s="11" t="inlineStr">
        <is>
          <t>—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 ht="26" customHeight="1">
      <c r="A1" s="1" t="inlineStr">
        <is>
          <t>Cohort Dashboard</t>
        </is>
      </c>
    </row>
    <row r="3">
      <c r="A3" s="12" t="inlineStr">
        <is>
          <t>Metric</t>
        </is>
      </c>
    </row>
    <row r="4">
      <c r="A4" s="13" t="inlineStr">
        <is>
          <t>Consultants tracked</t>
        </is>
      </c>
      <c r="B4" s="14">
        <f>COUNTA('Weekly Tracker'!A5:A12)</f>
        <v/>
      </c>
    </row>
    <row r="5">
      <c r="A5" s="13" t="inlineStr">
        <is>
          <t>On track (Wk2 Green)</t>
        </is>
      </c>
      <c r="B5" s="14">
        <f>COUNTIF('Weekly Tracker'!M5:M12,"Green")</f>
        <v/>
      </c>
    </row>
    <row r="6">
      <c r="A6" s="13" t="inlineStr">
        <is>
          <t>At risk (Wk2 Amber)</t>
        </is>
      </c>
      <c r="B6" s="14">
        <f>COUNTIF('Weekly Tracker'!M5:M12,"Amber")</f>
        <v/>
      </c>
    </row>
    <row r="7">
      <c r="A7" s="13" t="inlineStr">
        <is>
          <t>Behind (Wk2 Red)</t>
        </is>
      </c>
      <c r="B7" s="14">
        <f>COUNTIF('Weekly Tracker'!M5:M12,"Red")</f>
        <v/>
      </c>
    </row>
    <row r="8">
      <c r="A8" s="13" t="inlineStr">
        <is>
          <t>Passing (score &gt;= 70)</t>
        </is>
      </c>
      <c r="B8" s="14">
        <f>COUNTIF('Weekly Tracker'!P5:P12,"&gt;=70")</f>
        <v/>
      </c>
    </row>
    <row r="9">
      <c r="A9" s="13" t="inlineStr">
        <is>
          <t>Average score</t>
        </is>
      </c>
      <c r="B9" s="14">
        <f>IFERROR(ROUND(AVERAGE('Weekly Tracker'!P5:P12),1),"-")</f>
        <v/>
      </c>
    </row>
    <row r="10">
      <c r="A10" s="13" t="inlineStr">
        <is>
          <t>Reached Stretch</t>
        </is>
      </c>
      <c r="B10" s="14">
        <f>COUNTIF('Weekly Tracker'!O5:O12,"Stretch")</f>
        <v/>
      </c>
    </row>
    <row r="13">
      <c r="A13" s="12" t="inlineStr">
        <is>
          <t>Status</t>
        </is>
      </c>
      <c r="B13" s="12" t="inlineStr">
        <is>
          <t>Count</t>
        </is>
      </c>
    </row>
    <row r="14">
      <c r="A14" s="15" t="inlineStr">
        <is>
          <t>Green</t>
        </is>
      </c>
      <c r="B14" s="15">
        <f>COUNTIF('Weekly Tracker'!M5:M12,"Green")</f>
        <v/>
      </c>
    </row>
    <row r="15">
      <c r="A15" s="15" t="inlineStr">
        <is>
          <t>Amber</t>
        </is>
      </c>
      <c r="B15" s="15">
        <f>COUNTIF('Weekly Tracker'!M5:M12,"Amber")</f>
        <v/>
      </c>
    </row>
    <row r="16">
      <c r="A16" s="15" t="inlineStr">
        <is>
          <t>Red</t>
        </is>
      </c>
      <c r="B16" s="15">
        <f>COUNTIF('Weekly Tracker'!M5:M12,"Red")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1" t="inlineStr">
        <is>
          <t>How to use this tracker</t>
        </is>
      </c>
    </row>
    <row r="3">
      <c r="A3" s="16" t="inlineStr">
        <is>
          <t>1. One row per consultant on the 'Weekly Tracker' tab. Fill Consultant, Branch (solution/&lt;name&gt;), and Start date.</t>
        </is>
      </c>
    </row>
    <row r="4">
      <c r="A4" s="16" t="inlineStr">
        <is>
          <t xml:space="preserve">   'Due' and 'Pass?' compute automatically; RAG/Tier are dropdowns.</t>
        </is>
      </c>
    </row>
    <row r="5">
      <c r="A5" s="16" t="inlineStr">
        <is>
          <t>2. At each weekly check-in, set the Wk1 / Wk2 RAG status, % complete, blockers, and notes.</t>
        </is>
      </c>
    </row>
    <row r="6">
      <c r="A6" s="16" t="inlineStr">
        <is>
          <t xml:space="preserve">   Green = on track for the week's tier, Amber = slipping, Red = blocked / well behind.</t>
        </is>
      </c>
    </row>
    <row r="7">
      <c r="A7" s="16" t="inlineStr">
        <is>
          <t>3. Auto-fill the commit columns instead of counting by hand:</t>
        </is>
      </c>
    </row>
    <row r="8">
      <c r="A8" s="16" t="inlineStr">
        <is>
          <t xml:space="preserve">      python grading-kit/harness/consultant_status.py --start 2026-07-01 --csv status.csv</t>
        </is>
      </c>
    </row>
    <row r="9">
      <c r="A9" s="16" t="inlineStr">
        <is>
          <t xml:space="preserve">   It scans every 'solution/*' branch and reports commits in Week 1 vs Week 2, last activity,</t>
        </is>
      </c>
    </row>
    <row r="10">
      <c r="A10" s="16" t="inlineStr">
        <is>
          <t xml:space="preserve">   open PR + CI status, and FLAGS any branch that modified grading-kit/ (it should not).</t>
        </is>
      </c>
    </row>
    <row r="11">
      <c r="A11" s="16" t="inlineStr">
        <is>
          <t>4. At the end, enter Tier reached + Score /100 (from grading-kit/scorecard.json + manual rubric lines).</t>
        </is>
      </c>
    </row>
    <row r="12">
      <c r="A12" s="16" t="inlineStr">
        <is>
          <t xml:space="preserve">   'Dashboard' rolls up the cohort (on-track / at-risk / behind, passing, average score).</t>
        </is>
      </c>
    </row>
    <row r="13">
      <c r="A13" s="16" t="inlineStr">
        <is>
          <t>5. Weekly milestones reference: see the 'Weekly Checklist' tab (mirrors challenge-wbs.xlsx).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2026-06-30T15:20:13Z</dcterms:created>
  <dcterms:modified xmlns:dcterms="http://purl.org/dc/terms/" xmlns:xsi="http://www.w3.org/2001/XMLSchema-instance" xsi:type="dcterms:W3CDTF">2026-06-30T15:20:13Z</dcterms:modified>
</cp:coreProperties>
</file>